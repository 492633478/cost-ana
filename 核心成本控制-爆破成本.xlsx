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沿海区域\成本\成本套表终稿版\"/>
    </mc:Choice>
  </mc:AlternateContent>
  <xr:revisionPtr revIDLastSave="0" documentId="8_{816401B0-80B3-4AFA-BCB0-EABED913D96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图表" sheetId="5" r:id="rId1"/>
    <sheet name="基础资料-生产资料" sheetId="1" r:id="rId2"/>
    <sheet name="基础资料-结算资料" sheetId="2" r:id="rId3"/>
    <sheet name="核心指标-开采比例" sheetId="3" r:id="rId4"/>
    <sheet name="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3" l="1"/>
  <c r="O20" i="3"/>
  <c r="O19" i="3"/>
  <c r="J28" i="1"/>
  <c r="I28" i="1"/>
  <c r="H28" i="1"/>
  <c r="G28" i="1"/>
  <c r="F28" i="1"/>
  <c r="R67" i="2"/>
  <c r="K67" i="2"/>
  <c r="D31" i="3"/>
  <c r="D32" i="3"/>
  <c r="F34" i="3"/>
  <c r="E31" i="3"/>
  <c r="F31" i="3" s="1"/>
  <c r="J69" i="2"/>
  <c r="J67" i="2"/>
  <c r="I68" i="2"/>
  <c r="I67" i="2"/>
  <c r="E19" i="1"/>
  <c r="E23" i="1"/>
  <c r="I35" i="3"/>
  <c r="I34" i="3"/>
  <c r="I32" i="3"/>
  <c r="E34" i="3"/>
  <c r="D34" i="3"/>
  <c r="D35" i="3"/>
  <c r="F22" i="1"/>
  <c r="O25" i="3"/>
  <c r="O24" i="3"/>
  <c r="O12" i="3"/>
  <c r="O11" i="3"/>
  <c r="N23" i="3"/>
  <c r="D23" i="3"/>
  <c r="O7" i="3"/>
  <c r="O8" i="3"/>
  <c r="O6" i="3"/>
  <c r="Q19" i="4"/>
  <c r="Q18" i="4"/>
  <c r="Q17" i="4"/>
  <c r="Q16" i="4"/>
  <c r="Q9" i="4"/>
  <c r="Q8" i="4"/>
  <c r="Q7" i="4"/>
  <c r="Q6" i="4"/>
  <c r="AJ54" i="2"/>
  <c r="AJ53" i="2"/>
  <c r="AJ52" i="2"/>
  <c r="AJ51" i="2"/>
  <c r="AI51" i="2"/>
  <c r="AI54" i="2" s="1"/>
  <c r="Q51" i="2"/>
  <c r="Q54" i="2" s="1"/>
  <c r="AJ50" i="2"/>
  <c r="AJ49" i="2"/>
  <c r="E49" i="2"/>
  <c r="AJ48" i="2"/>
  <c r="AN49" i="2" s="1"/>
  <c r="AO49" i="2" s="1"/>
  <c r="AJ47" i="2"/>
  <c r="AJ46" i="2"/>
  <c r="AI46" i="2"/>
  <c r="AG46" i="2"/>
  <c r="AF46" i="2"/>
  <c r="AD46" i="2"/>
  <c r="AC46" i="2"/>
  <c r="AA46" i="2"/>
  <c r="Z46" i="2"/>
  <c r="X46" i="2"/>
  <c r="W46" i="2"/>
  <c r="U46" i="2"/>
  <c r="T46" i="2"/>
  <c r="T51" i="2" s="1"/>
  <c r="R46" i="2"/>
  <c r="Q46" i="2"/>
  <c r="O46" i="2"/>
  <c r="N46" i="2"/>
  <c r="L46" i="2"/>
  <c r="K46" i="2"/>
  <c r="I46" i="2"/>
  <c r="H46" i="2"/>
  <c r="F46" i="2"/>
  <c r="E46" i="2"/>
  <c r="AJ45" i="2"/>
  <c r="E45" i="2"/>
  <c r="AJ44" i="2"/>
  <c r="E44" i="2"/>
  <c r="AI43" i="2"/>
  <c r="AF43" i="2"/>
  <c r="AF51" i="2" s="1"/>
  <c r="AF54" i="2" s="1"/>
  <c r="AC43" i="2"/>
  <c r="AC51" i="2" s="1"/>
  <c r="AC54" i="2" s="1"/>
  <c r="Z43" i="2"/>
  <c r="Z51" i="2" s="1"/>
  <c r="W43" i="2"/>
  <c r="W51" i="2" s="1"/>
  <c r="T43" i="2"/>
  <c r="Q43" i="2"/>
  <c r="N43" i="2"/>
  <c r="N51" i="2" s="1"/>
  <c r="N54" i="2" s="1"/>
  <c r="K43" i="2"/>
  <c r="K51" i="2" s="1"/>
  <c r="K54" i="2" s="1"/>
  <c r="H43" i="2"/>
  <c r="H51" i="2" s="1"/>
  <c r="E43" i="2"/>
  <c r="E51" i="2" s="1"/>
  <c r="AI42" i="2"/>
  <c r="AF42" i="2"/>
  <c r="AC42" i="2"/>
  <c r="Z42" i="2"/>
  <c r="Z54" i="2" s="1"/>
  <c r="W42" i="2"/>
  <c r="W54" i="2" s="1"/>
  <c r="T42" i="2"/>
  <c r="T54" i="2" s="1"/>
  <c r="Q42" i="2"/>
  <c r="N42" i="2"/>
  <c r="K42" i="2"/>
  <c r="H42" i="2"/>
  <c r="H54" i="2" s="1"/>
  <c r="E42" i="2"/>
  <c r="E54" i="2" s="1"/>
  <c r="Q19" i="2"/>
  <c r="S17" i="2"/>
  <c r="R17" i="2"/>
  <c r="P17" i="2"/>
  <c r="O17" i="2"/>
  <c r="T15" i="2"/>
  <c r="T14" i="2"/>
  <c r="T12" i="2" s="1"/>
  <c r="Q14" i="2"/>
  <c r="T13" i="2"/>
  <c r="Q13" i="2"/>
  <c r="Q12" i="2"/>
  <c r="N12" i="2"/>
  <c r="L12" i="2"/>
  <c r="K12" i="2"/>
  <c r="I12" i="2"/>
  <c r="H12" i="2"/>
  <c r="F12" i="2"/>
  <c r="E12" i="2"/>
  <c r="E17" i="2" s="1"/>
  <c r="C12" i="2"/>
  <c r="T11" i="2"/>
  <c r="Q11" i="2"/>
  <c r="T10" i="2"/>
  <c r="Q10" i="2"/>
  <c r="Q9" i="2" s="1"/>
  <c r="Q17" i="2" s="1"/>
  <c r="T9" i="2"/>
  <c r="T17" i="2" s="1"/>
  <c r="N9" i="2"/>
  <c r="N17" i="2" s="1"/>
  <c r="K9" i="2"/>
  <c r="K17" i="2" s="1"/>
  <c r="H9" i="2"/>
  <c r="H17" i="2" s="1"/>
  <c r="E9" i="2"/>
  <c r="T8" i="2"/>
  <c r="T20" i="2" s="1"/>
  <c r="Q8" i="2"/>
  <c r="N8" i="2"/>
  <c r="N20" i="2" s="1"/>
  <c r="K8" i="2"/>
  <c r="K20" i="2" s="1"/>
  <c r="H8" i="2"/>
  <c r="H20" i="2" s="1"/>
  <c r="E8" i="2"/>
  <c r="E20" i="2" s="1"/>
  <c r="Q19" i="1"/>
  <c r="I31" i="3" s="1"/>
  <c r="J31" i="3" s="1"/>
  <c r="K31" i="3" s="1"/>
  <c r="Q18" i="1"/>
  <c r="R18" i="1" s="1"/>
  <c r="Q17" i="1"/>
  <c r="Q16" i="1"/>
  <c r="Q9" i="1"/>
  <c r="Q8" i="1"/>
  <c r="Q7" i="1"/>
  <c r="Q6" i="1"/>
  <c r="L26" i="3"/>
  <c r="L27" i="3" s="1"/>
  <c r="J26" i="3"/>
  <c r="F26" i="3"/>
  <c r="F27" i="3" s="1"/>
  <c r="D26" i="3"/>
  <c r="M25" i="3"/>
  <c r="L25" i="3"/>
  <c r="K25" i="3"/>
  <c r="K26" i="3" s="1"/>
  <c r="K27" i="3" s="1"/>
  <c r="J25" i="3"/>
  <c r="I25" i="3"/>
  <c r="H25" i="3"/>
  <c r="G25" i="3"/>
  <c r="F25" i="3"/>
  <c r="E25" i="3"/>
  <c r="E26" i="3" s="1"/>
  <c r="E27" i="3" s="1"/>
  <c r="D25" i="3"/>
  <c r="N25" i="3" s="1"/>
  <c r="M24" i="3"/>
  <c r="M26" i="3" s="1"/>
  <c r="M27" i="3" s="1"/>
  <c r="L24" i="3"/>
  <c r="K24" i="3"/>
  <c r="J24" i="3"/>
  <c r="J27" i="3" s="1"/>
  <c r="I24" i="3"/>
  <c r="I26" i="3" s="1"/>
  <c r="H24" i="3"/>
  <c r="N24" i="3" s="1"/>
  <c r="G24" i="3"/>
  <c r="G26" i="3" s="1"/>
  <c r="G27" i="3" s="1"/>
  <c r="F24" i="3"/>
  <c r="E24" i="3"/>
  <c r="D24" i="3"/>
  <c r="D27" i="3" s="1"/>
  <c r="L22" i="3"/>
  <c r="H22" i="3"/>
  <c r="H23" i="3" s="1"/>
  <c r="F22" i="3"/>
  <c r="M21" i="3"/>
  <c r="M22" i="3" s="1"/>
  <c r="M23" i="3" s="1"/>
  <c r="L21" i="3"/>
  <c r="K21" i="3"/>
  <c r="J21" i="3"/>
  <c r="I21" i="3"/>
  <c r="H21" i="3"/>
  <c r="G21" i="3"/>
  <c r="G22" i="3" s="1"/>
  <c r="G23" i="3" s="1"/>
  <c r="F21" i="3"/>
  <c r="E21" i="3"/>
  <c r="D21" i="3"/>
  <c r="N21" i="3" s="1"/>
  <c r="M20" i="3"/>
  <c r="L20" i="3"/>
  <c r="K20" i="3"/>
  <c r="J20" i="3"/>
  <c r="I20" i="3"/>
  <c r="H20" i="3"/>
  <c r="G20" i="3"/>
  <c r="F20" i="3"/>
  <c r="E20" i="3"/>
  <c r="D20" i="3"/>
  <c r="N20" i="3" s="1"/>
  <c r="M19" i="3"/>
  <c r="L19" i="3"/>
  <c r="L23" i="3" s="1"/>
  <c r="K19" i="3"/>
  <c r="K22" i="3" s="1"/>
  <c r="J19" i="3"/>
  <c r="J22" i="3" s="1"/>
  <c r="I19" i="3"/>
  <c r="H19" i="3"/>
  <c r="G19" i="3"/>
  <c r="F19" i="3"/>
  <c r="F23" i="3" s="1"/>
  <c r="E19" i="3"/>
  <c r="E22" i="3" s="1"/>
  <c r="D19" i="3"/>
  <c r="N19" i="3" s="1"/>
  <c r="G13" i="3"/>
  <c r="E13" i="3"/>
  <c r="I12" i="3"/>
  <c r="H12" i="3"/>
  <c r="G12" i="3"/>
  <c r="F12" i="3"/>
  <c r="E12" i="3"/>
  <c r="D12" i="3"/>
  <c r="N12" i="3" s="1"/>
  <c r="C12" i="3"/>
  <c r="I11" i="3"/>
  <c r="H11" i="3"/>
  <c r="G11" i="3"/>
  <c r="G14" i="3" s="1"/>
  <c r="F11" i="3"/>
  <c r="E11" i="3"/>
  <c r="D11" i="3"/>
  <c r="D13" i="3" s="1"/>
  <c r="C11" i="3"/>
  <c r="E14" i="3" s="1"/>
  <c r="E9" i="3"/>
  <c r="E10" i="3" s="1"/>
  <c r="I8" i="3"/>
  <c r="H8" i="3"/>
  <c r="G8" i="3"/>
  <c r="F8" i="3"/>
  <c r="E8" i="3"/>
  <c r="D8" i="3"/>
  <c r="N8" i="3" s="1"/>
  <c r="I7" i="3"/>
  <c r="H7" i="3"/>
  <c r="G7" i="3"/>
  <c r="G9" i="3" s="1"/>
  <c r="F7" i="3"/>
  <c r="E7" i="3"/>
  <c r="D7" i="3"/>
  <c r="N7" i="3" s="1"/>
  <c r="I6" i="3"/>
  <c r="H6" i="3"/>
  <c r="G6" i="3"/>
  <c r="F6" i="3"/>
  <c r="E6" i="3"/>
  <c r="D6" i="3"/>
  <c r="D9" i="3" s="1"/>
  <c r="E38" i="3" l="1"/>
  <c r="E40" i="3" s="1"/>
  <c r="G10" i="3"/>
  <c r="H10" i="3"/>
  <c r="D10" i="3"/>
  <c r="H14" i="3"/>
  <c r="I14" i="3"/>
  <c r="D14" i="3"/>
  <c r="Q20" i="2"/>
  <c r="F9" i="3"/>
  <c r="F10" i="3" s="1"/>
  <c r="F13" i="3"/>
  <c r="N13" i="3" s="1"/>
  <c r="H9" i="3"/>
  <c r="H13" i="3"/>
  <c r="I22" i="3"/>
  <c r="I23" i="3" s="1"/>
  <c r="J23" i="3"/>
  <c r="H27" i="3"/>
  <c r="N6" i="3"/>
  <c r="N11" i="3"/>
  <c r="I9" i="3"/>
  <c r="I10" i="3" s="1"/>
  <c r="I13" i="3"/>
  <c r="D22" i="3"/>
  <c r="N22" i="3" s="1"/>
  <c r="E23" i="3"/>
  <c r="K23" i="3"/>
  <c r="H26" i="3"/>
  <c r="N26" i="3" s="1"/>
  <c r="N27" i="3" s="1"/>
  <c r="I27" i="3"/>
  <c r="F14" i="3" l="1"/>
  <c r="N14" i="3"/>
  <c r="N9" i="3"/>
  <c r="N10" i="3" s="1"/>
  <c r="A57" i="5"/>
  <c r="D55" i="5"/>
  <c r="C55" i="5"/>
  <c r="B55" i="5"/>
  <c r="D54" i="5"/>
  <c r="C54" i="5"/>
  <c r="B54" i="5"/>
  <c r="D53" i="5"/>
  <c r="C53" i="5"/>
  <c r="D52" i="5"/>
  <c r="C52" i="5"/>
  <c r="M48" i="5"/>
  <c r="L48" i="5"/>
  <c r="K48" i="5"/>
  <c r="J48" i="5"/>
  <c r="I48" i="5"/>
  <c r="H48" i="5"/>
  <c r="G48" i="5"/>
  <c r="F48" i="5"/>
  <c r="E48" i="5"/>
  <c r="D48" i="5"/>
  <c r="M47" i="5"/>
  <c r="L47" i="5"/>
  <c r="K47" i="5"/>
  <c r="J47" i="5"/>
  <c r="I47" i="5"/>
  <c r="H47" i="5"/>
  <c r="G47" i="5"/>
  <c r="F47" i="5"/>
  <c r="E47" i="5"/>
  <c r="D47" i="5"/>
  <c r="M46" i="5"/>
  <c r="L46" i="5"/>
  <c r="K46" i="5"/>
  <c r="J46" i="5"/>
  <c r="I46" i="5"/>
  <c r="H46" i="5"/>
  <c r="G46" i="5"/>
  <c r="F46" i="5"/>
  <c r="E46" i="5"/>
  <c r="D46" i="5"/>
  <c r="M45" i="5"/>
  <c r="L45" i="5"/>
  <c r="K45" i="5"/>
  <c r="J45" i="5"/>
  <c r="I45" i="5"/>
  <c r="H45" i="5"/>
  <c r="G45" i="5"/>
  <c r="F45" i="5"/>
  <c r="E45" i="5"/>
  <c r="D45" i="5"/>
</calcChain>
</file>

<file path=xl/sharedStrings.xml><?xml version="1.0" encoding="utf-8"?>
<sst xmlns="http://schemas.openxmlformats.org/spreadsheetml/2006/main" count="331" uniqueCount="100">
  <si>
    <t>26年结算</t>
  </si>
  <si>
    <t>结算项目</t>
  </si>
  <si>
    <t>单价（元/吨）</t>
  </si>
  <si>
    <t>1月</t>
  </si>
  <si>
    <t>2-3月</t>
  </si>
  <si>
    <t>4-5月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</si>
  <si>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</si>
  <si>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</si>
  <si>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</si>
  <si>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</si>
  <si>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</si>
  <si>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</si>
  <si>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</si>
  <si>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</si>
  <si>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开采比例</t>
  </si>
  <si>
    <t>宕渣及土方</t>
  </si>
  <si>
    <t>表土剥离</t>
  </si>
  <si>
    <t>爆破开采</t>
  </si>
  <si>
    <t>机械开采</t>
  </si>
  <si>
    <t>/</t>
  </si>
  <si>
    <t>均价</t>
  </si>
  <si>
    <t>骨料</t>
  </si>
  <si>
    <t>25年结算</t>
  </si>
  <si>
    <t>2026年度生产数据（调整版）</t>
  </si>
  <si>
    <t>单位：吨</t>
  </si>
  <si>
    <t>项目</t>
  </si>
  <si>
    <t>2月</t>
  </si>
  <si>
    <t>3月</t>
  </si>
  <si>
    <t>4月</t>
  </si>
  <si>
    <t>5月</t>
  </si>
  <si>
    <t>开采量</t>
  </si>
  <si>
    <t>大皇山</t>
  </si>
  <si>
    <t>宕渣</t>
  </si>
  <si>
    <t>土方</t>
  </si>
  <si>
    <t>老线</t>
  </si>
  <si>
    <t>破碎量：</t>
  </si>
  <si>
    <t>新线</t>
  </si>
  <si>
    <t>2025年度生产数据（调整版）</t>
  </si>
  <si>
    <t>11期</t>
  </si>
  <si>
    <t>12期</t>
  </si>
  <si>
    <t>13期</t>
  </si>
  <si>
    <t>14期</t>
  </si>
  <si>
    <t>15期（暂结）</t>
  </si>
  <si>
    <t>16期（暂结）</t>
  </si>
  <si>
    <t>数量</t>
  </si>
  <si>
    <t>单价</t>
  </si>
  <si>
    <t>金额</t>
  </si>
  <si>
    <t>100章总则</t>
  </si>
  <si>
    <t>一、安全生产费</t>
  </si>
  <si>
    <t>二、其他</t>
  </si>
  <si>
    <t>小计</t>
  </si>
  <si>
    <t>200章矿山开拓工程</t>
  </si>
  <si>
    <t>一、爆破开采</t>
  </si>
  <si>
    <t>1、码头（土方、宕渣）</t>
  </si>
  <si>
    <t>2、卸料口（骨料）</t>
  </si>
  <si>
    <t>三、剥离表土运输</t>
  </si>
  <si>
    <t>四、200章其他</t>
  </si>
  <si>
    <t>300章生产线工程</t>
  </si>
  <si>
    <t>暂列金（租费+油费）</t>
  </si>
  <si>
    <t>计量合计</t>
  </si>
  <si>
    <t>当期扣款</t>
  </si>
  <si>
    <t>柴油调差款</t>
  </si>
  <si>
    <t>扣炸药库及储油站使用费</t>
  </si>
  <si>
    <t>综合保障基地租金</t>
  </si>
  <si>
    <t>38号带修理材料费用</t>
  </si>
  <si>
    <t>扣水电使用费</t>
  </si>
  <si>
    <t>机制砂费用</t>
  </si>
  <si>
    <t>保留金</t>
  </si>
  <si>
    <t>60期(扣除前期差额）</t>
  </si>
  <si>
    <t>01期</t>
  </si>
  <si>
    <t>02期</t>
  </si>
  <si>
    <t>03期</t>
  </si>
  <si>
    <t>4期</t>
  </si>
  <si>
    <t>5期</t>
  </si>
  <si>
    <t>6期</t>
  </si>
  <si>
    <t>7期</t>
  </si>
  <si>
    <t>8期</t>
  </si>
  <si>
    <t>9期</t>
  </si>
  <si>
    <t>10期</t>
  </si>
  <si>
    <t>25年开采宕渣</t>
    <phoneticPr fontId="1" type="noConversion"/>
  </si>
  <si>
    <t>25年结算宕渣</t>
    <phoneticPr fontId="1" type="noConversion"/>
  </si>
  <si>
    <t>26年开采宕渣</t>
    <phoneticPr fontId="1" type="noConversion"/>
  </si>
  <si>
    <t>26年结算宕渣</t>
    <phoneticPr fontId="1" type="noConversion"/>
  </si>
  <si>
    <t>差异</t>
    <phoneticPr fontId="1" type="noConversion"/>
  </si>
  <si>
    <t>影响金额</t>
    <phoneticPr fontId="1" type="noConversion"/>
  </si>
  <si>
    <t>25年开采骨料</t>
    <phoneticPr fontId="1" type="noConversion"/>
  </si>
  <si>
    <t>25年结算骨料</t>
    <phoneticPr fontId="1" type="noConversion"/>
  </si>
  <si>
    <t>26年开采骨料</t>
    <phoneticPr fontId="1" type="noConversion"/>
  </si>
  <si>
    <t>26年结算骨料</t>
    <phoneticPr fontId="1" type="noConversion"/>
  </si>
  <si>
    <t>备注（为一月差异）</t>
    <phoneticPr fontId="1" type="noConversion"/>
  </si>
  <si>
    <t>=</t>
    <phoneticPr fontId="1" type="noConversion"/>
  </si>
  <si>
    <t>交投矿业爆破成本分析报告 ｜ Blasting Cost Analytics</t>
  </si>
  <si>
    <t>汇报期间：2025年–2026年　·　数据截至：2026年8月　·　空白月份为预留区间（数据产生后图表自动更新）</t>
  </si>
  <si>
    <t>图表1 数据源（宕渣/骨料均价，元/吨；无数据显示 #N/A 断开）</t>
  </si>
  <si>
    <t>2025年宕渣</t>
  </si>
  <si>
    <t>2026年宕渣</t>
  </si>
  <si>
    <t>2025年骨料</t>
  </si>
  <si>
    <t>2026年骨料</t>
  </si>
  <si>
    <t>图表2 数据源（开采比例，%）</t>
  </si>
  <si>
    <t>年份/矿种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</si>
</sst>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方正小标宋简体"/>
      <family val="3"/>
      <charset val="134"/>
    </font>
    <font>
      <sz val="11"/>
      <color theme="1"/>
      <name val="等线"/>
      <family val="3"/>
      <charset val="134"/>
      <scheme val="minor"/>
    </font>
    <font>
      <sz val="7"/>
      <color rgb="FF000000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sz val="10"/>
      <color rgb="FFFFFFF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/>
    <xf numFmtId="0" fontId="0" fillId="2" borderId="1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2" borderId="0" xfId="0" applyFill="1"/>
    <xf numFmtId="176" fontId="0" fillId="0" borderId="0" xfId="0" applyNumberFormat="1"/>
    <xf numFmtId="0" fontId="4" fillId="0" borderId="0" xfId="0" applyFont="1"/>
    <xf numFmtId="176" fontId="0" fillId="0" borderId="1" xfId="0" applyNumberFormat="1" applyBorder="1"/>
    <xf numFmtId="10" fontId="0" fillId="0" borderId="1" xfId="0" applyNumberForma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76" fontId="0" fillId="3" borderId="0" xfId="0" applyNumberFormat="1" applyFill="1"/>
    <xf numFmtId="10" fontId="0" fillId="0" borderId="0" xfId="0" applyNumberFormat="1"/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13" xfId="0" applyBorder="1"/>
    <xf numFmtId="0" fontId="0" fillId="0" borderId="10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anchorCtr="0"/>
          <a:lstStyle/>
          <a:p>
            <a:pPr>
              <a:defRPr sz="1500" b="1">
                <a:solidFill>
                  <a:srgbClr val="1F3864"/>
                </a:solidFill>
                <a:latin typeface="微软雅黑"/>
                <a:ea typeface="微软雅黑"/>
              </a:defRPr>
            </a:pPr>
            <a:r>
              <a:rPr lang="zh-CN" altLang="en-US"/>
              <a:t>宕渣及骨料开采成本变化表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2025年宕渣</c:v>
          </c:tx>
          <c:spPr>
            <a:ln>
              <a:solidFill>
                <a:srgbClr val="1F3864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>
                  <a:defRPr sz="900" b="1">
                    <a:solidFill>
                      <a:srgbClr val="1F3864"/>
                    </a:solidFill>
                    <a:latin typeface="微软雅黑"/>
                    <a:ea typeface="微软雅黑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图表!$D$44:$M$44</c:f>
              <c:strCache>
                <c:ptCount val="8"/>
                <c:pt idx="0">
                  <c:v>1月</c:v>
                </c:pt>
                <c:pt idx="1">
                  <c:v>2-3月</c:v>
                </c:pt>
                <c:pt idx="2">
                  <c:v>4-5月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9月</c:v>
                </c:pt>
                <c:pt idx="7">
                  <c:v>10月</c:v>
                </c:pt>
              </c:strCache>
            </c:strRef>
          </c:cat>
          <c:val>
            <c:numRef>
              <c:f>图表!$D$45:$M$45</c:f>
              <c:numCache>
                <c:formatCode>0.00_ </c:formatCode>
                <c:ptCount val="8"/>
                <c:pt idx="0">
                  <c:v>7.8494469139333987</c:v>
                </c:pt>
                <c:pt idx="1">
                  <c:v>7.6200132392706275</c:v>
                </c:pt>
                <c:pt idx="2">
                  <c:v>7.2896784811934738</c:v>
                </c:pt>
                <c:pt idx="3">
                  <c:v>7.4323409618888592</c:v>
                </c:pt>
                <c:pt idx="4">
                  <c:v>7.1233174345428276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1-4A0A-ACF2-78A6928C513C}"/>
            </c:ext>
          </c:extLst>
        </c:ser>
        <c:ser>
          <c:idx val="1"/>
          <c:order val="1"/>
          <c:tx>
            <c:v>2026年宕渣</c:v>
          </c:tx>
          <c:spPr>
            <a:ln>
              <a:solidFill>
                <a:srgbClr val="ED7D3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>
                  <a:defRPr sz="900" b="1">
                    <a:solidFill>
                      <a:srgbClr val="ED7D31"/>
                    </a:solidFill>
                    <a:latin typeface="微软雅黑"/>
                    <a:ea typeface="微软雅黑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图表!$D$44:$M$44</c:f>
              <c:strCache>
                <c:ptCount val="8"/>
                <c:pt idx="0">
                  <c:v>1月</c:v>
                </c:pt>
                <c:pt idx="1">
                  <c:v>2-3月</c:v>
                </c:pt>
                <c:pt idx="2">
                  <c:v>4-5月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9月</c:v>
                </c:pt>
                <c:pt idx="7">
                  <c:v>10月</c:v>
                </c:pt>
              </c:strCache>
            </c:strRef>
          </c:cat>
          <c:val>
            <c:numRef>
              <c:f>图表!$D$46:$M$46</c:f>
              <c:numCache>
                <c:formatCode>0.00_ </c:formatCode>
                <c:ptCount val="8"/>
                <c:pt idx="0">
                  <c:v>8.5796332494953482</c:v>
                </c:pt>
                <c:pt idx="1">
                  <c:v>6.2175690561450052</c:v>
                </c:pt>
                <c:pt idx="2">
                  <c:v>8.5003011301590323</c:v>
                </c:pt>
                <c:pt idx="3">
                  <c:v>8.0095487829485581</c:v>
                </c:pt>
                <c:pt idx="4">
                  <c:v>8.6939962303684499</c:v>
                </c:pt>
                <c:pt idx="5">
                  <c:v>7.8840544835019024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1-4A0A-ACF2-78A6928C513C}"/>
            </c:ext>
          </c:extLst>
        </c:ser>
        <c:ser>
          <c:idx val="2"/>
          <c:order val="2"/>
          <c:tx>
            <c:v>2025年骨料</c:v>
          </c:tx>
          <c:spPr>
            <a:ln>
              <a:solidFill>
                <a:srgbClr val="2E75B6"/>
              </a:solidFill>
              <a:prstDash val="dash"/>
            </a:ln>
          </c:spPr>
          <c:marker>
            <c:symbol val="none"/>
          </c:marker>
          <c:cat>
            <c:strRef>
              <c:f>图表!$D$44:$M$44</c:f>
              <c:strCache>
                <c:ptCount val="8"/>
                <c:pt idx="0">
                  <c:v>1月</c:v>
                </c:pt>
                <c:pt idx="1">
                  <c:v>2-3月</c:v>
                </c:pt>
                <c:pt idx="2">
                  <c:v>4-5月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9月</c:v>
                </c:pt>
                <c:pt idx="7">
                  <c:v>10月</c:v>
                </c:pt>
              </c:strCache>
            </c:strRef>
          </c:cat>
          <c:val>
            <c:numRef>
              <c:f>图表!$D$47:$M$47</c:f>
              <c:numCache>
                <c:formatCode>0.00_ </c:formatCode>
                <c:ptCount val="8"/>
                <c:pt idx="0">
                  <c:v>6.76</c:v>
                </c:pt>
                <c:pt idx="1">
                  <c:v>6.7600000000000007</c:v>
                </c:pt>
                <c:pt idx="2">
                  <c:v>6.7671573084202192</c:v>
                </c:pt>
                <c:pt idx="3">
                  <c:v>6.929922728304633</c:v>
                </c:pt>
                <c:pt idx="4">
                  <c:v>6.9729342116790205</c:v>
                </c:pt>
                <c:pt idx="5">
                  <c:v>6.8519658381215383</c:v>
                </c:pt>
                <c:pt idx="6">
                  <c:v>6.88482415859513</c:v>
                </c:pt>
                <c:pt idx="7">
                  <c:v>6.8504719590401937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C1-4A0A-ACF2-78A6928C513C}"/>
            </c:ext>
          </c:extLst>
        </c:ser>
        <c:ser>
          <c:idx val="3"/>
          <c:order val="3"/>
          <c:tx>
            <c:v>2026年骨料</c:v>
          </c:tx>
          <c:spPr>
            <a:ln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图表!$D$44:$M$44</c:f>
              <c:strCache>
                <c:ptCount val="8"/>
                <c:pt idx="0">
                  <c:v>1月</c:v>
                </c:pt>
                <c:pt idx="1">
                  <c:v>2-3月</c:v>
                </c:pt>
                <c:pt idx="2">
                  <c:v>4-5月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  <c:pt idx="6">
                  <c:v>9月</c:v>
                </c:pt>
                <c:pt idx="7">
                  <c:v>10月</c:v>
                </c:pt>
              </c:strCache>
            </c:strRef>
          </c:cat>
          <c:val>
            <c:numRef>
              <c:f>图表!$D$48:$M$48</c:f>
              <c:numCache>
                <c:formatCode>0.00_ </c:formatCode>
                <c:ptCount val="8"/>
                <c:pt idx="0">
                  <c:v>6.8564946091432049</c:v>
                </c:pt>
                <c:pt idx="1">
                  <c:v>6.844385982532974</c:v>
                </c:pt>
                <c:pt idx="2">
                  <c:v>6.9388506126159184</c:v>
                </c:pt>
                <c:pt idx="3">
                  <c:v>7.0568426206087169</c:v>
                </c:pt>
                <c:pt idx="4">
                  <c:v>7.1055723155702735</c:v>
                </c:pt>
                <c:pt idx="5">
                  <c:v>7.0603670327933008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C1-4A0A-ACF2-78A6928C5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0"/>
          <a:lstStyle/>
          <a:p>
            <a:pPr>
              <a:defRPr sz="1000" b="0">
                <a:solidFill>
                  <a:srgbClr val="595959"/>
                </a:solidFill>
                <a:latin typeface="微软雅黑"/>
                <a:ea typeface="微软雅黑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rot="-5400000" anchorCtr="0"/>
              <a:lstStyle/>
              <a:p>
                <a:pPr>
                  <a:defRPr sz="900">
                    <a:solidFill>
                      <a:srgbClr val="8C8C8C"/>
                    </a:solidFill>
                    <a:latin typeface="微软雅黑"/>
                    <a:ea typeface="微软雅黑"/>
                  </a:defRPr>
                </a:pPr>
                <a:r>
                  <a:rPr lang="zh-CN" altLang="en-US"/>
                  <a:t>单位：元</a:t>
                </a:r>
                <a:r>
                  <a:rPr lang="en-US" altLang="zh-CN"/>
                  <a:t>/</a:t>
                </a:r>
                <a:r>
                  <a:rPr lang="zh-CN" altLang="en-US"/>
                  <a:t>吨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0"/>
          <a:lstStyle/>
          <a:p>
            <a:pPr>
              <a:defRPr sz="1000" b="0">
                <a:solidFill>
                  <a:srgbClr val="595959"/>
                </a:solidFill>
                <a:latin typeface="微软雅黑"/>
                <a:ea typeface="微软雅黑"/>
              </a:defRPr>
            </a:pPr>
            <a:endParaRPr lang="zh-CN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 anchorCtr="0"/>
        <a:lstStyle/>
        <a:p>
          <a:pPr>
            <a:defRPr sz="1000" b="0">
              <a:solidFill>
                <a:srgbClr val="595959"/>
              </a:solidFill>
              <a:latin typeface="微软雅黑"/>
              <a:ea typeface="微软雅黑"/>
            </a:defRPr>
          </a:pPr>
          <a:endParaRPr lang="zh-CN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anchorCtr="0"/>
          <a:lstStyle/>
          <a:p>
            <a:pPr>
              <a:defRPr sz="1500" b="1">
                <a:solidFill>
                  <a:srgbClr val="1F3864"/>
                </a:solidFill>
                <a:latin typeface="微软雅黑"/>
                <a:ea typeface="微软雅黑"/>
              </a:defRPr>
            </a:pPr>
            <a:r>
              <a:rPr lang="zh-CN" altLang="en-US"/>
              <a:t>开采比例</a:t>
            </a:r>
            <a:endParaRPr lang="en-US" altLang="zh-CN"/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图表!$B$51</c:f>
              <c:strCache>
                <c:ptCount val="1"/>
                <c:pt idx="0">
                  <c:v>表土剥离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>
                  <a:defRPr sz="900" b="1">
                    <a:solidFill>
                      <a:srgbClr val="FFFFFF"/>
                    </a:solidFill>
                    <a:latin typeface="微软雅黑"/>
                    <a:ea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图表!$A$52:$A$55</c:f>
              <c:strCache>
                <c:ptCount val="4"/>
                <c:pt idx="0">
                  <c:v>2026年骨料</c:v>
                </c:pt>
                <c:pt idx="1">
                  <c:v>2025年骨料</c:v>
                </c:pt>
                <c:pt idx="2">
                  <c:v>2026年宕渣</c:v>
                </c:pt>
                <c:pt idx="3">
                  <c:v>2025年宕渣</c:v>
                </c:pt>
              </c:strCache>
            </c:strRef>
          </c:cat>
          <c:val>
            <c:numRef>
              <c:f>图表!$B$52:$B$55</c:f>
              <c:numCache>
                <c:formatCode>0.00%</c:formatCode>
                <c:ptCount val="4"/>
                <c:pt idx="2">
                  <c:v>0.25491107842953309</c:v>
                </c:pt>
                <c:pt idx="3">
                  <c:v>0.23724219205337455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F1-4EEA-9309-C6201D183C45}"/>
            </c:ext>
          </c:extLst>
        </c:ser>
        <c:ser>
          <c:idx val="1"/>
          <c:order val="1"/>
          <c:tx>
            <c:strRef>
              <c:f>图表!$C$51</c:f>
              <c:strCache>
                <c:ptCount val="1"/>
                <c:pt idx="0">
                  <c:v>爆破开采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>
                  <a:defRPr sz="900" b="1">
                    <a:solidFill>
                      <a:srgbClr val="FFFFFF"/>
                    </a:solidFill>
                    <a:latin typeface="微软雅黑"/>
                    <a:ea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图表!$A$52:$A$55</c:f>
              <c:strCache>
                <c:ptCount val="4"/>
                <c:pt idx="0">
                  <c:v>2026年骨料</c:v>
                </c:pt>
                <c:pt idx="1">
                  <c:v>2025年骨料</c:v>
                </c:pt>
                <c:pt idx="2">
                  <c:v>2026年宕渣</c:v>
                </c:pt>
                <c:pt idx="3">
                  <c:v>2025年宕渣</c:v>
                </c:pt>
              </c:strCache>
            </c:strRef>
          </c:cat>
          <c:val>
            <c:numRef>
              <c:f>图表!$C$52:$C$55</c:f>
              <c:numCache>
                <c:formatCode>0.00%</c:formatCode>
                <c:ptCount val="4"/>
                <c:pt idx="0">
                  <c:v>0.9542960135568237</c:v>
                </c:pt>
                <c:pt idx="1">
                  <c:v>0.97839494834784346</c:v>
                </c:pt>
                <c:pt idx="2">
                  <c:v>0.55871431691293927</c:v>
                </c:pt>
                <c:pt idx="3">
                  <c:v>0.75297104636515932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F1-4EEA-9309-C6201D183C45}"/>
            </c:ext>
          </c:extLst>
        </c:ser>
        <c:ser>
          <c:idx val="2"/>
          <c:order val="2"/>
          <c:tx>
            <c:strRef>
              <c:f>图表!$D$51</c:f>
              <c:strCache>
                <c:ptCount val="1"/>
                <c:pt idx="0">
                  <c:v>机械开采</c:v>
                </c:pt>
              </c:strCache>
            </c:strRef>
          </c:tx>
          <c:spPr>
            <a:solidFill>
              <a:srgbClr val="9DC3E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>
                  <a:defRPr sz="900" b="1">
                    <a:solidFill>
                      <a:srgbClr val="1F3864"/>
                    </a:solidFill>
                    <a:latin typeface="微软雅黑"/>
                    <a:ea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图表!$A$52:$A$55</c:f>
              <c:strCache>
                <c:ptCount val="4"/>
                <c:pt idx="0">
                  <c:v>2026年骨料</c:v>
                </c:pt>
                <c:pt idx="1">
                  <c:v>2025年骨料</c:v>
                </c:pt>
                <c:pt idx="2">
                  <c:v>2026年宕渣</c:v>
                </c:pt>
                <c:pt idx="3">
                  <c:v>2025年宕渣</c:v>
                </c:pt>
              </c:strCache>
            </c:strRef>
          </c:cat>
          <c:val>
            <c:numRef>
              <c:f>图表!$D$52:$D$55</c:f>
              <c:numCache>
                <c:formatCode>0.00%</c:formatCode>
                <c:ptCount val="4"/>
                <c:pt idx="0">
                  <c:v>4.5703986443176255E-2</c:v>
                </c:pt>
                <c:pt idx="1">
                  <c:v>2.1605051652156884E-2</c:v>
                </c:pt>
                <c:pt idx="2">
                  <c:v>0.18637460465752761</c:v>
                </c:pt>
                <c:pt idx="3">
                  <c:v>9.7867615814661406E-3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8F1-4EEA-9309-C6201D183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anchorCtr="0"/>
          <a:lstStyle/>
          <a:p>
            <a:pPr>
              <a:defRPr sz="1000" b="0">
                <a:solidFill>
                  <a:srgbClr val="595959"/>
                </a:solidFill>
                <a:latin typeface="微软雅黑"/>
                <a:ea typeface="微软雅黑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 anchorCtr="0"/>
              <a:lstStyle/>
              <a:p>
                <a:pPr>
                  <a:defRPr sz="900">
                    <a:solidFill>
                      <a:srgbClr val="8C8C8C"/>
                    </a:solidFill>
                    <a:latin typeface="微软雅黑"/>
                    <a:ea typeface="微软雅黑"/>
                  </a:defRPr>
                </a:pPr>
                <a:r>
                  <a:rPr lang="zh-CN" altLang="en-US"/>
                  <a:t>结算方式（</a:t>
                </a:r>
                <a:r>
                  <a:rPr lang="en-US" altLang="zh-CN"/>
                  <a:t>0-100%</a:t>
                </a:r>
                <a:r>
                  <a:rPr lang="zh-CN" altLang="en-US"/>
                  <a:t>）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anchorCtr="0"/>
          <a:lstStyle/>
          <a:p>
            <a:pPr>
              <a:defRPr sz="1000" b="0">
                <a:solidFill>
                  <a:srgbClr val="595959"/>
                </a:solidFill>
                <a:latin typeface="微软雅黑"/>
                <a:ea typeface="微软雅黑"/>
              </a:defRPr>
            </a:pPr>
            <a:endParaRPr lang="zh-CN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 anchorCtr="0"/>
        <a:lstStyle/>
        <a:p>
          <a:pPr>
            <a:defRPr sz="1000" b="0">
              <a:solidFill>
                <a:srgbClr val="595959"/>
              </a:solidFill>
              <a:latin typeface="微软雅黑"/>
              <a:ea typeface="微软雅黑"/>
            </a:defRPr>
          </a:pPr>
          <a:endParaRPr lang="zh-CN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2</xdr:row>
      <xdr:rowOff>47625</xdr:rowOff>
    </xdr:from>
    <xdr:ext cx="802005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200024</xdr:colOff>
      <xdr:row>25</xdr:row>
      <xdr:rowOff>9525</xdr:rowOff>
    </xdr:from>
    <xdr:ext cx="7877175" cy="4324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5</xdr:col>
      <xdr:colOff>457200</xdr:colOff>
      <xdr:row>13</xdr:row>
      <xdr:rowOff>133350</xdr:rowOff>
    </xdr:from>
    <xdr:to>
      <xdr:col>10</xdr:col>
      <xdr:colOff>361950</xdr:colOff>
      <xdr:row>19</xdr:row>
      <xdr:rowOff>133350</xdr:rowOff>
    </xdr:to>
    <xdr:sp macro="" textlink="图表!$A$57">
      <xdr:nvSpPr>
        <xdr:cNvPr id="5" name="开采成本信息卡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4325" y="2724150"/>
          <a:ext cx="3571875" cy="1085850"/>
        </a:xfrm>
        <a:prstGeom prst="rect">
          <a:avLst/>
        </a:prstGeom>
        <a:solidFill>
          <a:srgbClr val="F2F2F2"/>
        </a:solidFill>
        <a:ln w="12700">
          <a:solidFill>
            <a:srgbClr val="1F3864"/>
          </a:solidFill>
        </a:ln>
        <a:effectLst/>
      </xdr:spPr>
      <xdr:txBody>
        <a:bodyPr wrap="square" lIns="91440" tIns="27432" rIns="91440" bIns="27432" anchor="t" anchorCtr="0"/>
        <a:lstStyle/>
        <a:p>
          <a:pPr algn="l">
            <a:lnSpc>
              <a:spcPct val="115000"/>
            </a:lnSpc>
          </a:pPr>
          <a:r>
            <a:rPr lang="zh-CN" sz="1000">
              <a:solidFill>
                <a:srgbClr val="1F3864"/>
              </a:solidFill>
              <a:latin typeface="Microsoft YaHei"/>
              <a:ea typeface="Microsoft YaHei"/>
            </a:rPr>
            <a:t>26年骨料平均开采成本：6.95 元/吨</a:t>
          </a:r>
          <a:br/>
          <a:r>
            <a:rPr lang="zh-CN" sz="1000">
              <a:solidFill>
                <a:srgbClr val="1F3864"/>
              </a:solidFill>
              <a:latin typeface="Microsoft YaHei"/>
              <a:ea typeface="Microsoft YaHei"/>
            </a:rPr>
            <a:t>25年骨料平均开采成本：6.85 元/吨</a:t>
          </a:r>
          <a:br/>
          <a:r>
            <a:rPr lang="zh-CN" sz="1000">
              <a:solidFill>
                <a:srgbClr val="1F3864"/>
              </a:solidFill>
              <a:latin typeface="Microsoft YaHei"/>
              <a:ea typeface="Microsoft YaHei"/>
            </a:rPr>
            <a:t>26年宕渣开采成本：7.95 元/吨</a:t>
          </a:r>
          <a:br/>
          <a:r>
            <a:rPr lang="zh-CN" sz="1000">
              <a:solidFill>
                <a:srgbClr val="1F3864"/>
              </a:solidFill>
              <a:latin typeface="Microsoft YaHei"/>
              <a:ea typeface="Microsoft YaHei"/>
            </a:rPr>
            <a:t>25年宕渣开采成本：7.30 元/吨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47A3-56F1-4E1D-9FD9-C453867A105B}">
  <dimension ref="A1:O57"/>
  <sheetViews>
    <sheetView workbookViewId="0">
      <selection activeCell="P9" sqref="P9"/>
    </sheetView>
  </sheetViews>
  <sheetFormatPr defaultRowHeight="14.25" x14ac:dyDescent="0.2"/>
  <cols>
    <col min="1" max="10" width="9.625" customWidth="1"/>
    <col min="11" max="11" width="10.125" customWidth="1"/>
    <col min="12" max="12" width="9.625" hidden="1" customWidth="1"/>
    <col min="13" max="14" width="9" hidden="1" customWidth="1"/>
  </cols>
  <sheetData>
    <row r="1" spans="1:14" ht="34.5" customHeight="1" x14ac:dyDescent="0.2">
      <c r="A1" s="21" t="s">
        <v>91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2">
      <c r="A2" s="22" t="s">
        <v>92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.5" customHeight="1" x14ac:dyDescent="0.2"/>
    <row r="43" spans="1:15" ht="213" customHeight="1" x14ac:dyDescent="0.2">
      <c r="A43" t="s">
        <v>93</v>
      </c>
    </row>
    <row r="44" spans="1:15" x14ac:dyDescent="0.2"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</row>
    <row r="45" spans="1:15" x14ac:dyDescent="0.2">
      <c r="A45" t="s">
        <v>94</v>
      </c>
      <c r="D45" s="14">
        <f>IF(ISNUMBER('核心指标-开采比例'!D23),'核心指标-开采比例'!D23,NA())</f>
        <v>7.8494469139333987</v>
      </c>
      <c r="E45" s="14">
        <f>IF(ISNUMBER('核心指标-开采比例'!E23),'核心指标-开采比例'!E23,NA())</f>
        <v>7.6200132392706275</v>
      </c>
      <c r="F45" s="14">
        <f>IF(ISNUMBER('核心指标-开采比例'!F23),'核心指标-开采比例'!F23,NA())</f>
        <v>7.2896784811934738</v>
      </c>
      <c r="G45" s="14">
        <f>IF(ISNUMBER('核心指标-开采比例'!G23),'核心指标-开采比例'!G23,NA())</f>
        <v>7.4323409618888592</v>
      </c>
      <c r="H45" s="14">
        <f>IF(ISNUMBER('核心指标-开采比例'!H23),'核心指标-开采比例'!H23,NA())</f>
        <v>7.1233174345428276</v>
      </c>
      <c r="I45" s="14" t="e">
        <f>IF(ISNUMBER('核心指标-开采比例'!I23),'核心指标-开采比例'!I23,NA())</f>
        <v>#N/A</v>
      </c>
      <c r="J45" s="14" t="e">
        <f>IF(ISNUMBER('核心指标-开采比例'!J23),'核心指标-开采比例'!J23,NA())</f>
        <v>#N/A</v>
      </c>
      <c r="K45" s="14" t="e">
        <f>IF(ISNUMBER('核心指标-开采比例'!K23),'核心指标-开采比例'!K23,NA())</f>
        <v>#N/A</v>
      </c>
      <c r="L45" s="14" t="e">
        <f>IF(ISNUMBER('核心指标-开采比例'!L23),'核心指标-开采比例'!L23,NA())</f>
        <v>#N/A</v>
      </c>
      <c r="M45" s="14" t="e">
        <f>IF(ISNUMBER('核心指标-开采比例'!M23),'核心指标-开采比例'!M23,NA())</f>
        <v>#N/A</v>
      </c>
      <c r="N45" s="14"/>
      <c r="O45" s="14"/>
    </row>
    <row r="46" spans="1:15" x14ac:dyDescent="0.2">
      <c r="A46" t="s">
        <v>95</v>
      </c>
      <c r="D46" s="14">
        <f>IF(ISNUMBER('核心指标-开采比例'!D10),'核心指标-开采比例'!D10,NA())</f>
        <v>8.5796332494953482</v>
      </c>
      <c r="E46" s="14">
        <f>IF(ISNUMBER('核心指标-开采比例'!E10),'核心指标-开采比例'!E10,NA())</f>
        <v>6.2175690561450052</v>
      </c>
      <c r="F46" s="14">
        <f>IF(ISNUMBER('核心指标-开采比例'!F10),'核心指标-开采比例'!F10,NA())</f>
        <v>8.5003011301590323</v>
      </c>
      <c r="G46" s="14">
        <f>IF(ISNUMBER('核心指标-开采比例'!G10),'核心指标-开采比例'!G10,NA())</f>
        <v>8.0095487829485581</v>
      </c>
      <c r="H46" s="14">
        <f>IF(ISNUMBER('核心指标-开采比例'!H10),'核心指标-开采比例'!H10,NA())</f>
        <v>8.6939962303684499</v>
      </c>
      <c r="I46" s="14">
        <f>IF(ISNUMBER('核心指标-开采比例'!I10),'核心指标-开采比例'!I10,NA())</f>
        <v>7.8840544835019024</v>
      </c>
      <c r="J46" s="14" t="e">
        <f>IF(ISNUMBER('核心指标-开采比例'!J10),'核心指标-开采比例'!J10,NA())</f>
        <v>#N/A</v>
      </c>
      <c r="K46" s="14" t="e">
        <f>IF(ISNUMBER('核心指标-开采比例'!K10),'核心指标-开采比例'!K10,NA())</f>
        <v>#N/A</v>
      </c>
      <c r="L46" s="14" t="e">
        <f>IF(ISNUMBER('核心指标-开采比例'!L10),'核心指标-开采比例'!L10,NA())</f>
        <v>#N/A</v>
      </c>
      <c r="M46" s="14" t="e">
        <f>IF(ISNUMBER('核心指标-开采比例'!M10),'核心指标-开采比例'!M10,NA())</f>
        <v>#N/A</v>
      </c>
      <c r="N46" s="14"/>
      <c r="O46" s="14"/>
    </row>
    <row r="47" spans="1:15" x14ac:dyDescent="0.2">
      <c r="A47" t="s">
        <v>96</v>
      </c>
      <c r="D47" s="14">
        <f>IF(ISNUMBER('核心指标-开采比例'!D27),'核心指标-开采比例'!D27,NA())</f>
        <v>6.76</v>
      </c>
      <c r="E47" s="14">
        <f>IF(ISNUMBER('核心指标-开采比例'!E27),'核心指标-开采比例'!E27,NA())</f>
        <v>6.7600000000000007</v>
      </c>
      <c r="F47" s="14">
        <f>IF(ISNUMBER('核心指标-开采比例'!F27),'核心指标-开采比例'!F27,NA())</f>
        <v>6.7671573084202192</v>
      </c>
      <c r="G47" s="14">
        <f>IF(ISNUMBER('核心指标-开采比例'!G27),'核心指标-开采比例'!G27,NA())</f>
        <v>6.929922728304633</v>
      </c>
      <c r="H47" s="14">
        <f>IF(ISNUMBER('核心指标-开采比例'!H27),'核心指标-开采比例'!H27,NA())</f>
        <v>6.9729342116790205</v>
      </c>
      <c r="I47" s="14">
        <f>IF(ISNUMBER('核心指标-开采比例'!I27),'核心指标-开采比例'!I27,NA())</f>
        <v>6.8519658381215383</v>
      </c>
      <c r="J47" s="14">
        <f>IF(ISNUMBER('核心指标-开采比例'!J27),'核心指标-开采比例'!J27,NA())</f>
        <v>6.88482415859513</v>
      </c>
      <c r="K47" s="14">
        <f>IF(ISNUMBER('核心指标-开采比例'!K27),'核心指标-开采比例'!K27,NA())</f>
        <v>6.8504719590401937</v>
      </c>
      <c r="L47" s="14">
        <f>IF(ISNUMBER('核心指标-开采比例'!L27),'核心指标-开采比例'!L27,NA())</f>
        <v>6.8492358215127975</v>
      </c>
      <c r="M47" s="14">
        <f>IF(ISNUMBER('核心指标-开采比例'!M27),'核心指标-开采比例'!M27,NA())</f>
        <v>6.890695250815023</v>
      </c>
      <c r="N47" s="14"/>
      <c r="O47" s="14"/>
    </row>
    <row r="48" spans="1:15" x14ac:dyDescent="0.2">
      <c r="A48" t="s">
        <v>97</v>
      </c>
      <c r="D48" s="14">
        <f>IF(ISNUMBER('核心指标-开采比例'!D14),'核心指标-开采比例'!D14,NA())</f>
        <v>6.8564946091432049</v>
      </c>
      <c r="E48" s="14">
        <f>IF(ISNUMBER('核心指标-开采比例'!E14),'核心指标-开采比例'!E14,NA())</f>
        <v>6.844385982532974</v>
      </c>
      <c r="F48" s="14">
        <f>IF(ISNUMBER('核心指标-开采比例'!F14),'核心指标-开采比例'!F14,NA())</f>
        <v>6.9388506126159184</v>
      </c>
      <c r="G48" s="14">
        <f>IF(ISNUMBER('核心指标-开采比例'!G14),'核心指标-开采比例'!G14,NA())</f>
        <v>7.0568426206087169</v>
      </c>
      <c r="H48" s="14">
        <f>IF(ISNUMBER('核心指标-开采比例'!H14),'核心指标-开采比例'!H14,NA())</f>
        <v>7.1055723155702735</v>
      </c>
      <c r="I48" s="14">
        <f>IF(ISNUMBER('核心指标-开采比例'!I14),'核心指标-开采比例'!I14,NA())</f>
        <v>7.0603670327933008</v>
      </c>
      <c r="J48" s="14" t="e">
        <f>IF(ISNUMBER('核心指标-开采比例'!J14),'核心指标-开采比例'!J14,NA())</f>
        <v>#N/A</v>
      </c>
      <c r="K48" s="14" t="e">
        <f>IF(ISNUMBER('核心指标-开采比例'!K14),'核心指标-开采比例'!K14,NA())</f>
        <v>#N/A</v>
      </c>
      <c r="L48" s="14" t="e">
        <f>IF(ISNUMBER('核心指标-开采比例'!L14),'核心指标-开采比例'!L14,NA())</f>
        <v>#N/A</v>
      </c>
      <c r="M48" s="14" t="e">
        <f>IF(ISNUMBER('核心指标-开采比例'!M14),'核心指标-开采比例'!M14,NA())</f>
        <v>#N/A</v>
      </c>
      <c r="N48" s="14"/>
      <c r="O48" s="14"/>
    </row>
    <row r="49" spans="1:15" x14ac:dyDescent="0.2"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x14ac:dyDescent="0.2">
      <c r="A50" t="s">
        <v>98</v>
      </c>
    </row>
    <row r="51" spans="1:15" x14ac:dyDescent="0.2">
      <c r="A51" t="s">
        <v>99</v>
      </c>
      <c r="B51" t="s">
        <v>16</v>
      </c>
      <c r="C51" t="s">
        <v>17</v>
      </c>
      <c r="D51" t="s">
        <v>18</v>
      </c>
    </row>
    <row r="52" spans="1:15" x14ac:dyDescent="0.2">
      <c r="A52" t="s">
        <v>97</v>
      </c>
      <c r="B52" s="20"/>
      <c r="C52" s="20">
        <f>'核心指标-开采比例'!O11</f>
        <v>0.9542960135568237</v>
      </c>
      <c r="D52" s="20">
        <f>'核心指标-开采比例'!O12</f>
        <v>4.5703986443176255E-2</v>
      </c>
    </row>
    <row r="53" spans="1:15" x14ac:dyDescent="0.2">
      <c r="A53" t="s">
        <v>96</v>
      </c>
      <c r="B53" s="20"/>
      <c r="C53" s="20">
        <f>'核心指标-开采比例'!O24</f>
        <v>0.97839494834784346</v>
      </c>
      <c r="D53" s="20">
        <f>'核心指标-开采比例'!O25</f>
        <v>2.1605051652156884E-2</v>
      </c>
    </row>
    <row r="54" spans="1:15" x14ac:dyDescent="0.2">
      <c r="A54" t="s">
        <v>95</v>
      </c>
      <c r="B54" s="20">
        <f>'核心指标-开采比例'!O6</f>
        <v>0.25491107842953309</v>
      </c>
      <c r="C54" s="20">
        <f>'核心指标-开采比例'!O7</f>
        <v>0.55871431691293927</v>
      </c>
      <c r="D54" s="20">
        <f>'核心指标-开采比例'!O8</f>
        <v>0.18637460465752761</v>
      </c>
    </row>
    <row r="55" spans="1:15" x14ac:dyDescent="0.2">
      <c r="A55" t="s">
        <v>94</v>
      </c>
      <c r="B55" s="20">
        <f>'核心指标-开采比例'!O19</f>
        <v>0.23724219205337455</v>
      </c>
      <c r="C55" s="20">
        <f>'核心指标-开采比例'!O20</f>
        <v>0.75297104636515932</v>
      </c>
      <c r="D55" s="20">
        <f>'核心指标-开采比例'!O21</f>
        <v>9.7867615814661406E-3</v>
      </c>
    </row>
    <row r="57" spans="1:15" x14ac:dyDescent="0.2">
      <c r="A57" t="str">
        <f>"26年骨料平均开采成本："&amp;TEXT('核心指标-开采比例'!N14,"0.00")&amp;" 元/吨"&amp;CHAR(10)&amp;"25年骨料平均开采成本："&amp;TEXT('核心指标-开采比例'!N27,"0.00")&amp;" 元/吨"&amp;CHAR(10)&amp;"26年宕渣开采成本："&amp;TEXT('核心指标-开采比例'!N10,"0.00")&amp;" 元/吨"&amp;CHAR(10)&amp;"25年宕渣开采成本："&amp;TEXT('核心指标-开采比例'!N23,"0.00")&amp;" 元/吨"</f>
        <v>26年骨料平均开采成本：6.95 元/吨
25年骨料平均开采成本：6.85 元/吨
26年宕渣开采成本：7.95 元/吨
25年宕渣开采成本：7.30 元/吨</v>
      </c>
    </row>
  </sheetData>
  <mergeCells count="2">
    <mergeCell ref="A1:N1"/>
    <mergeCell ref="A2:N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A2A2-7019-4354-B927-95E7218B1CA6}">
  <dimension ref="A2:R28"/>
  <sheetViews>
    <sheetView workbookViewId="0">
      <selection activeCell="J29" sqref="J29"/>
    </sheetView>
  </sheetViews>
  <sheetFormatPr defaultColWidth="9" defaultRowHeight="14.25" x14ac:dyDescent="0.2"/>
  <cols>
    <col min="4" max="4" width="16.75" customWidth="1"/>
    <col min="5" max="5" width="11.875" customWidth="1"/>
    <col min="6" max="6" width="12" customWidth="1"/>
    <col min="7" max="8" width="11.5" customWidth="1"/>
    <col min="9" max="9" width="14.75" customWidth="1"/>
    <col min="10" max="10" width="11.5" customWidth="1"/>
    <col min="11" max="11" width="13.875" customWidth="1"/>
    <col min="12" max="12" width="11.5" customWidth="1"/>
    <col min="13" max="13" width="13" customWidth="1"/>
    <col min="14" max="14" width="11.375" customWidth="1"/>
    <col min="15" max="15" width="11.5" customWidth="1"/>
    <col min="16" max="16" width="11.125" customWidth="1"/>
    <col min="17" max="17" width="12.75" customWidth="1"/>
    <col min="18" max="18" width="12.625" bestFit="1" customWidth="1"/>
  </cols>
  <sheetData>
    <row r="2" spans="1:17" ht="25.5" customHeight="1" x14ac:dyDescent="0.2">
      <c r="A2" s="33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7" x14ac:dyDescent="0.2">
      <c r="O4" t="s">
        <v>24</v>
      </c>
    </row>
    <row r="5" spans="1:17" ht="24" customHeight="1" x14ac:dyDescent="0.2">
      <c r="A5" s="24" t="s">
        <v>25</v>
      </c>
      <c r="B5" s="32"/>
      <c r="C5" s="32"/>
      <c r="D5" s="25"/>
      <c r="E5" s="2" t="s">
        <v>3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10</v>
      </c>
      <c r="O5" s="2" t="s">
        <v>11</v>
      </c>
      <c r="P5" s="2" t="s">
        <v>12</v>
      </c>
      <c r="Q5" s="2" t="s">
        <v>13</v>
      </c>
    </row>
    <row r="6" spans="1:17" ht="24" customHeight="1" x14ac:dyDescent="0.2">
      <c r="A6" s="27" t="s">
        <v>30</v>
      </c>
      <c r="B6" s="27" t="s">
        <v>31</v>
      </c>
      <c r="C6" s="24" t="s">
        <v>32</v>
      </c>
      <c r="D6" s="25"/>
      <c r="E6" s="4">
        <v>189082.9</v>
      </c>
      <c r="F6" s="4">
        <v>32925.050000000003</v>
      </c>
      <c r="G6" s="4">
        <v>79963.73</v>
      </c>
      <c r="H6" s="4">
        <v>90578.25</v>
      </c>
      <c r="I6" s="4">
        <v>68277.5</v>
      </c>
      <c r="J6" s="4">
        <v>308815.3</v>
      </c>
      <c r="K6" s="4">
        <v>32072.1</v>
      </c>
      <c r="L6" s="4">
        <v>111991.7</v>
      </c>
      <c r="M6" s="5"/>
      <c r="N6" s="5"/>
      <c r="O6" s="5"/>
      <c r="P6" s="5"/>
      <c r="Q6" s="5">
        <f>SUM(E6:P6)</f>
        <v>913706.52999999991</v>
      </c>
    </row>
    <row r="7" spans="1:17" ht="24" customHeight="1" x14ac:dyDescent="0.2">
      <c r="A7" s="28"/>
      <c r="B7" s="28"/>
      <c r="C7" s="24" t="s">
        <v>33</v>
      </c>
      <c r="D7" s="25"/>
      <c r="E7" s="4">
        <v>427130.5</v>
      </c>
      <c r="F7" s="4">
        <v>122428.3</v>
      </c>
      <c r="G7" s="4">
        <v>277243.75</v>
      </c>
      <c r="H7" s="4">
        <v>420235.96</v>
      </c>
      <c r="I7" s="4">
        <v>257420.65</v>
      </c>
      <c r="J7" s="4">
        <v>0</v>
      </c>
      <c r="K7" s="4">
        <v>0</v>
      </c>
      <c r="L7" s="4">
        <v>0</v>
      </c>
      <c r="M7" s="5"/>
      <c r="N7" s="5"/>
      <c r="O7" s="5"/>
      <c r="P7" s="5"/>
      <c r="Q7" s="5">
        <f>SUM(E7:P7)</f>
        <v>1504459.16</v>
      </c>
    </row>
    <row r="8" spans="1:17" ht="24" customHeight="1" x14ac:dyDescent="0.2">
      <c r="A8" s="28"/>
      <c r="B8" s="28"/>
      <c r="C8" s="2" t="s">
        <v>34</v>
      </c>
      <c r="D8" s="1" t="s">
        <v>35</v>
      </c>
      <c r="E8" s="4">
        <v>1332094.25</v>
      </c>
      <c r="F8" s="4">
        <v>669731.4</v>
      </c>
      <c r="G8" s="4">
        <v>724342.1</v>
      </c>
      <c r="H8" s="4">
        <v>1274223.2</v>
      </c>
      <c r="I8" s="4">
        <v>973700.5</v>
      </c>
      <c r="J8" s="4">
        <v>1185003.6499999999</v>
      </c>
      <c r="K8" s="4">
        <v>597014.55000000005</v>
      </c>
      <c r="L8" s="4">
        <v>1021527.25</v>
      </c>
      <c r="M8" s="5"/>
      <c r="N8" s="5"/>
      <c r="O8" s="5"/>
      <c r="P8" s="5"/>
      <c r="Q8" s="5">
        <f>SUM(E8:P8)</f>
        <v>7777636.8999999994</v>
      </c>
    </row>
    <row r="9" spans="1:17" ht="24" customHeight="1" x14ac:dyDescent="0.2">
      <c r="A9" s="29"/>
      <c r="B9" s="29"/>
      <c r="C9" s="3" t="s">
        <v>36</v>
      </c>
      <c r="D9" s="1" t="s">
        <v>35</v>
      </c>
      <c r="E9" s="4">
        <v>526684.49</v>
      </c>
      <c r="F9" s="4">
        <v>241147.94</v>
      </c>
      <c r="G9" s="4">
        <v>282280.77</v>
      </c>
      <c r="H9" s="4">
        <v>480767.83</v>
      </c>
      <c r="I9" s="4">
        <v>373518.09</v>
      </c>
      <c r="J9" s="4">
        <v>599144.12</v>
      </c>
      <c r="K9" s="4">
        <v>164263.62</v>
      </c>
      <c r="L9" s="4">
        <v>0</v>
      </c>
      <c r="M9" s="5"/>
      <c r="N9" s="5"/>
      <c r="O9" s="5"/>
      <c r="P9" s="5"/>
      <c r="Q9" s="5">
        <f>SUM(E9:P9)</f>
        <v>2667806.8600000003</v>
      </c>
    </row>
    <row r="10" spans="1:17" x14ac:dyDescent="0.2">
      <c r="A10" s="30"/>
      <c r="B10" s="31"/>
      <c r="C10" s="30"/>
      <c r="D10" s="31"/>
    </row>
    <row r="11" spans="1:17" x14ac:dyDescent="0.2">
      <c r="A11" s="23"/>
      <c r="B11" s="23"/>
      <c r="C11" s="26"/>
      <c r="D11" s="23"/>
    </row>
    <row r="12" spans="1:17" x14ac:dyDescent="0.2">
      <c r="A12" s="33" t="s">
        <v>37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7" x14ac:dyDescent="0.2">
      <c r="O14" t="s">
        <v>24</v>
      </c>
    </row>
    <row r="15" spans="1:17" ht="24" customHeight="1" x14ac:dyDescent="0.2">
      <c r="A15" s="24" t="s">
        <v>25</v>
      </c>
      <c r="B15" s="32"/>
      <c r="C15" s="32"/>
      <c r="D15" s="25"/>
      <c r="E15" s="2" t="s">
        <v>3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6</v>
      </c>
      <c r="K15" s="2" t="s">
        <v>7</v>
      </c>
      <c r="L15" s="2" t="s">
        <v>8</v>
      </c>
      <c r="M15" s="2" t="s">
        <v>9</v>
      </c>
      <c r="N15" s="2" t="s">
        <v>10</v>
      </c>
      <c r="O15" s="2" t="s">
        <v>11</v>
      </c>
      <c r="P15" s="2" t="s">
        <v>12</v>
      </c>
      <c r="Q15" s="2" t="s">
        <v>13</v>
      </c>
    </row>
    <row r="16" spans="1:17" ht="24" customHeight="1" x14ac:dyDescent="0.2">
      <c r="A16" s="27" t="s">
        <v>30</v>
      </c>
      <c r="B16" s="27" t="s">
        <v>31</v>
      </c>
      <c r="C16" s="24" t="s">
        <v>32</v>
      </c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19808.400000000001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5">
        <f>SUM(E16:P16)</f>
        <v>19808.400000000001</v>
      </c>
    </row>
    <row r="17" spans="1:18" ht="24" customHeight="1" x14ac:dyDescent="0.2">
      <c r="A17" s="28"/>
      <c r="B17" s="28"/>
      <c r="C17" s="24" t="s">
        <v>33</v>
      </c>
      <c r="D17" s="25"/>
      <c r="E17" s="6">
        <v>302452.34000000003</v>
      </c>
      <c r="F17" s="6">
        <v>268007.59999999998</v>
      </c>
      <c r="G17" s="6">
        <v>394472.15</v>
      </c>
      <c r="H17" s="6">
        <v>494860.65</v>
      </c>
      <c r="I17" s="6">
        <v>303153.05</v>
      </c>
      <c r="J17" s="6">
        <v>385535.1</v>
      </c>
      <c r="K17" s="6">
        <v>400373.65</v>
      </c>
      <c r="L17" s="6">
        <v>42465.599999999999</v>
      </c>
      <c r="M17" s="6">
        <v>0</v>
      </c>
      <c r="N17" s="6">
        <v>0</v>
      </c>
      <c r="O17" s="6">
        <v>0</v>
      </c>
      <c r="P17" s="6">
        <v>0</v>
      </c>
      <c r="Q17" s="5">
        <f>SUM(E17:P17)</f>
        <v>2591320.14</v>
      </c>
    </row>
    <row r="18" spans="1:18" ht="24" customHeight="1" x14ac:dyDescent="0.2">
      <c r="A18" s="28"/>
      <c r="B18" s="28"/>
      <c r="C18" s="2" t="s">
        <v>34</v>
      </c>
      <c r="D18" s="1" t="s">
        <v>35</v>
      </c>
      <c r="E18" s="6">
        <v>620265.55000000005</v>
      </c>
      <c r="F18" s="6">
        <v>451278.7</v>
      </c>
      <c r="G18" s="6">
        <v>814257.5</v>
      </c>
      <c r="H18" s="6">
        <v>1120405</v>
      </c>
      <c r="I18" s="6">
        <v>1461011.8</v>
      </c>
      <c r="J18" s="6">
        <v>1447575.15</v>
      </c>
      <c r="K18" s="6">
        <v>1432463.2</v>
      </c>
      <c r="L18" s="6">
        <v>1314101.5</v>
      </c>
      <c r="M18" s="6">
        <v>1452347.85</v>
      </c>
      <c r="N18" s="6">
        <v>1206269.8500000001</v>
      </c>
      <c r="O18" s="6">
        <v>1326113.1499999999</v>
      </c>
      <c r="P18" s="6">
        <v>1435938.1</v>
      </c>
      <c r="Q18" s="5">
        <f>SUM(E18:P18)</f>
        <v>14082027.349999998</v>
      </c>
      <c r="R18" s="14">
        <f>Q18+Q19-E18-E19</f>
        <v>19374555.249999996</v>
      </c>
    </row>
    <row r="19" spans="1:18" ht="24" customHeight="1" x14ac:dyDescent="0.2">
      <c r="A19" s="29"/>
      <c r="B19" s="29"/>
      <c r="C19" s="3" t="s">
        <v>36</v>
      </c>
      <c r="D19" s="1" t="s">
        <v>35</v>
      </c>
      <c r="E19" s="6">
        <f>169547.98+1028.89</f>
        <v>170576.87000000002</v>
      </c>
      <c r="F19" s="6">
        <v>146213.5</v>
      </c>
      <c r="G19" s="6">
        <v>320603.03000000003</v>
      </c>
      <c r="H19" s="6">
        <v>501154.67</v>
      </c>
      <c r="I19" s="6">
        <v>667030.07999999996</v>
      </c>
      <c r="J19" s="6">
        <v>618556.07999999996</v>
      </c>
      <c r="K19" s="6">
        <v>594737.02</v>
      </c>
      <c r="L19" s="6">
        <v>608701.43000000005</v>
      </c>
      <c r="M19" s="6">
        <v>686250.66</v>
      </c>
      <c r="N19" s="6">
        <v>520960.97</v>
      </c>
      <c r="O19" s="6">
        <v>641610</v>
      </c>
      <c r="P19" s="6">
        <v>606976.01</v>
      </c>
      <c r="Q19" s="5">
        <f>SUM(E19:P19)</f>
        <v>6083370.3199999994</v>
      </c>
    </row>
    <row r="20" spans="1:18" ht="24" customHeight="1" x14ac:dyDescent="0.2">
      <c r="J20" s="13"/>
      <c r="K20" s="13"/>
      <c r="L20" s="13"/>
      <c r="M20" s="13"/>
      <c r="N20" s="13"/>
      <c r="O20" s="13"/>
      <c r="P20" s="13"/>
      <c r="Q20" s="13"/>
    </row>
    <row r="22" spans="1:18" x14ac:dyDescent="0.2">
      <c r="F22">
        <f>F17+G17</f>
        <v>662479.75</v>
      </c>
    </row>
    <row r="23" spans="1:18" x14ac:dyDescent="0.2">
      <c r="E23">
        <f>E18+E19</f>
        <v>790842.42</v>
      </c>
    </row>
    <row r="26" spans="1:18" x14ac:dyDescent="0.2">
      <c r="E26">
        <v>306655.89</v>
      </c>
      <c r="F26">
        <v>1</v>
      </c>
      <c r="G26">
        <v>23</v>
      </c>
      <c r="H26">
        <v>45</v>
      </c>
      <c r="I26">
        <v>6</v>
      </c>
      <c r="J26">
        <v>7</v>
      </c>
    </row>
    <row r="27" spans="1:18" x14ac:dyDescent="0.2">
      <c r="E27" t="s">
        <v>90</v>
      </c>
      <c r="F27">
        <v>306655.89</v>
      </c>
      <c r="G27">
        <v>671849.70000000007</v>
      </c>
      <c r="H27">
        <v>828173.95</v>
      </c>
      <c r="I27">
        <v>415133.2</v>
      </c>
      <c r="J27">
        <v>400418.3</v>
      </c>
    </row>
    <row r="28" spans="1:18" x14ac:dyDescent="0.2">
      <c r="F28">
        <f>E17</f>
        <v>302452.34000000003</v>
      </c>
      <c r="G28">
        <f>F17+G17</f>
        <v>662479.75</v>
      </c>
      <c r="H28">
        <f>H17+I17</f>
        <v>798013.7</v>
      </c>
      <c r="I28">
        <f>J16+J17</f>
        <v>405343.5</v>
      </c>
      <c r="J28">
        <f>K17</f>
        <v>400373.65</v>
      </c>
    </row>
  </sheetData>
  <mergeCells count="15">
    <mergeCell ref="A5:D5"/>
    <mergeCell ref="A2:P3"/>
    <mergeCell ref="C6:D6"/>
    <mergeCell ref="C7:D7"/>
    <mergeCell ref="C10:D10"/>
    <mergeCell ref="C16:D16"/>
    <mergeCell ref="C17:D17"/>
    <mergeCell ref="C11:D11"/>
    <mergeCell ref="A6:A9"/>
    <mergeCell ref="A10:B11"/>
    <mergeCell ref="B6:B9"/>
    <mergeCell ref="A15:D15"/>
    <mergeCell ref="A12:P13"/>
    <mergeCell ref="B16:B19"/>
    <mergeCell ref="A16:A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78C-FB4E-46D7-BFFD-8BEBF73DABED}">
  <dimension ref="A3:AO69"/>
  <sheetViews>
    <sheetView topLeftCell="A8" workbookViewId="0">
      <pane xSplit="2" topLeftCell="C1" activePane="topRight" state="frozen"/>
      <selection activeCell="A30" sqref="A30"/>
      <selection pane="topRight" activeCell="U47" sqref="U47"/>
    </sheetView>
  </sheetViews>
  <sheetFormatPr defaultColWidth="9" defaultRowHeight="14.25" x14ac:dyDescent="0.2"/>
  <cols>
    <col min="1" max="1" width="19.875" customWidth="1"/>
    <col min="2" max="2" width="23.625" customWidth="1"/>
    <col min="4" max="4" width="11.875" customWidth="1"/>
    <col min="5" max="5" width="13.25" customWidth="1"/>
    <col min="7" max="7" width="11.875" customWidth="1"/>
    <col min="8" max="8" width="13.25" customWidth="1"/>
    <col min="9" max="9" width="11" customWidth="1"/>
    <col min="10" max="11" width="10.25" customWidth="1"/>
    <col min="12" max="12" width="12" customWidth="1"/>
    <col min="13" max="13" width="10.625" customWidth="1"/>
    <col min="14" max="14" width="9.875" customWidth="1"/>
    <col min="20" max="20" width="12.75" customWidth="1"/>
    <col min="40" max="40" width="11.625" customWidth="1"/>
  </cols>
  <sheetData>
    <row r="3" spans="1:20" ht="24" customHeight="1" x14ac:dyDescent="0.2">
      <c r="A3" s="27" t="s">
        <v>25</v>
      </c>
      <c r="B3" s="34"/>
      <c r="C3" s="24" t="s">
        <v>38</v>
      </c>
      <c r="D3" s="32"/>
      <c r="E3" s="25"/>
      <c r="F3" s="24" t="s">
        <v>39</v>
      </c>
      <c r="G3" s="32"/>
      <c r="H3" s="25"/>
      <c r="I3" s="24" t="s">
        <v>40</v>
      </c>
      <c r="J3" s="32"/>
      <c r="K3" s="25"/>
      <c r="L3" s="24" t="s">
        <v>41</v>
      </c>
      <c r="M3" s="32"/>
      <c r="N3" s="25"/>
      <c r="O3" s="24" t="s">
        <v>42</v>
      </c>
      <c r="P3" s="32"/>
      <c r="Q3" s="25"/>
      <c r="R3" s="24" t="s">
        <v>43</v>
      </c>
      <c r="S3" s="32"/>
      <c r="T3" s="25"/>
    </row>
    <row r="4" spans="1:20" ht="24" customHeight="1" x14ac:dyDescent="0.2">
      <c r="A4" s="35"/>
      <c r="B4" s="36"/>
      <c r="C4" s="24" t="s">
        <v>3</v>
      </c>
      <c r="D4" s="32"/>
      <c r="E4" s="25"/>
      <c r="F4" s="24" t="s">
        <v>4</v>
      </c>
      <c r="G4" s="32"/>
      <c r="H4" s="25"/>
      <c r="I4" s="24" t="s">
        <v>5</v>
      </c>
      <c r="J4" s="32"/>
      <c r="K4" s="25"/>
      <c r="L4" s="24" t="s">
        <v>6</v>
      </c>
      <c r="M4" s="32"/>
      <c r="N4" s="25"/>
      <c r="O4" s="24" t="s">
        <v>7</v>
      </c>
      <c r="P4" s="32"/>
      <c r="Q4" s="25"/>
      <c r="R4" s="24" t="s">
        <v>8</v>
      </c>
      <c r="S4" s="32"/>
      <c r="T4" s="25"/>
    </row>
    <row r="5" spans="1:20" ht="24" customHeight="1" x14ac:dyDescent="0.2">
      <c r="A5" s="37"/>
      <c r="B5" s="38"/>
      <c r="C5" s="2" t="s">
        <v>44</v>
      </c>
      <c r="D5" s="2" t="s">
        <v>45</v>
      </c>
      <c r="E5" s="2" t="s">
        <v>46</v>
      </c>
      <c r="F5" s="2" t="s">
        <v>44</v>
      </c>
      <c r="G5" s="2" t="s">
        <v>45</v>
      </c>
      <c r="H5" s="2" t="s">
        <v>46</v>
      </c>
      <c r="I5" s="2" t="s">
        <v>44</v>
      </c>
      <c r="J5" s="2" t="s">
        <v>45</v>
      </c>
      <c r="K5" s="2" t="s">
        <v>46</v>
      </c>
      <c r="L5" s="2" t="s">
        <v>44</v>
      </c>
      <c r="M5" s="2" t="s">
        <v>45</v>
      </c>
      <c r="N5" s="2" t="s">
        <v>46</v>
      </c>
      <c r="O5" s="2" t="s">
        <v>44</v>
      </c>
      <c r="P5" s="2" t="s">
        <v>45</v>
      </c>
      <c r="Q5" s="2" t="s">
        <v>46</v>
      </c>
      <c r="R5" s="2" t="s">
        <v>44</v>
      </c>
      <c r="S5" s="2" t="s">
        <v>45</v>
      </c>
      <c r="T5" s="2" t="s">
        <v>46</v>
      </c>
    </row>
    <row r="6" spans="1:20" ht="24" customHeight="1" x14ac:dyDescent="0.2">
      <c r="A6" s="27" t="s">
        <v>47</v>
      </c>
      <c r="B6" s="1" t="s">
        <v>48</v>
      </c>
      <c r="C6" s="3"/>
      <c r="D6" s="2"/>
      <c r="E6" s="2"/>
      <c r="F6" s="2">
        <v>398716.81</v>
      </c>
      <c r="G6" s="2">
        <v>1</v>
      </c>
      <c r="H6" s="2">
        <v>398716.81</v>
      </c>
      <c r="I6" s="2">
        <v>659339.19999999995</v>
      </c>
      <c r="J6" s="2">
        <v>1</v>
      </c>
      <c r="K6" s="2">
        <v>659339.19999999995</v>
      </c>
      <c r="L6" s="2"/>
      <c r="M6" s="2"/>
      <c r="N6" s="2"/>
      <c r="O6" s="1">
        <v>311034.8</v>
      </c>
      <c r="P6" s="1">
        <v>1</v>
      </c>
      <c r="Q6" s="1">
        <v>311034.8</v>
      </c>
      <c r="R6" s="1">
        <v>169129.2</v>
      </c>
      <c r="S6" s="1">
        <v>1</v>
      </c>
      <c r="T6" s="1">
        <v>169129.2</v>
      </c>
    </row>
    <row r="7" spans="1:20" ht="24" customHeight="1" x14ac:dyDescent="0.2">
      <c r="A7" s="28"/>
      <c r="B7" s="1" t="s">
        <v>49</v>
      </c>
      <c r="C7" s="3"/>
      <c r="D7" s="2"/>
      <c r="E7" s="2">
        <v>0</v>
      </c>
      <c r="F7" s="2"/>
      <c r="G7" s="2"/>
      <c r="H7" s="2">
        <v>0</v>
      </c>
      <c r="I7" s="2"/>
      <c r="J7" s="2"/>
      <c r="K7" s="2">
        <v>0</v>
      </c>
      <c r="L7" s="2"/>
      <c r="M7" s="2"/>
      <c r="N7" s="2">
        <v>0</v>
      </c>
      <c r="O7" s="1"/>
      <c r="P7" s="1"/>
      <c r="Q7" s="1"/>
      <c r="R7" s="1"/>
      <c r="S7" s="1"/>
      <c r="T7" s="1"/>
    </row>
    <row r="8" spans="1:20" ht="24" customHeight="1" x14ac:dyDescent="0.2">
      <c r="A8" s="29"/>
      <c r="B8" s="1" t="s">
        <v>50</v>
      </c>
      <c r="C8" s="3"/>
      <c r="D8" s="2"/>
      <c r="E8" s="2">
        <f>E6+E7</f>
        <v>0</v>
      </c>
      <c r="F8" s="2"/>
      <c r="G8" s="2"/>
      <c r="H8" s="2">
        <f>H6+H7</f>
        <v>398716.81</v>
      </c>
      <c r="I8" s="2"/>
      <c r="J8" s="2"/>
      <c r="K8" s="2">
        <f>K6+K7</f>
        <v>659339.19999999995</v>
      </c>
      <c r="L8" s="2"/>
      <c r="M8" s="2"/>
      <c r="N8" s="2">
        <f>N6+N7</f>
        <v>0</v>
      </c>
      <c r="O8" s="1"/>
      <c r="P8" s="1"/>
      <c r="Q8" s="2">
        <f>Q6+Q7</f>
        <v>311034.8</v>
      </c>
      <c r="R8" s="1"/>
      <c r="S8" s="1"/>
      <c r="T8" s="2">
        <f>T6+T7</f>
        <v>169129.2</v>
      </c>
    </row>
    <row r="9" spans="1:20" ht="24" customHeight="1" x14ac:dyDescent="0.2">
      <c r="A9" s="39" t="s">
        <v>51</v>
      </c>
      <c r="B9" s="1" t="s">
        <v>52</v>
      </c>
      <c r="C9" s="3"/>
      <c r="D9" s="2"/>
      <c r="E9" s="2">
        <f>E10+E11</f>
        <v>14002639.49</v>
      </c>
      <c r="F9" s="2"/>
      <c r="G9" s="2"/>
      <c r="H9" s="2">
        <f>H10+H11</f>
        <v>13594925.34</v>
      </c>
      <c r="I9" s="2"/>
      <c r="J9" s="2"/>
      <c r="K9" s="2">
        <f>K10+K11</f>
        <v>24629503.91</v>
      </c>
      <c r="L9" s="2"/>
      <c r="M9" s="2"/>
      <c r="N9" s="2">
        <f>N10+N11</f>
        <v>13934943.449999999</v>
      </c>
      <c r="O9" s="1"/>
      <c r="P9" s="1"/>
      <c r="Q9" s="1">
        <f>Q10+Q11</f>
        <v>4929116.6232000003</v>
      </c>
      <c r="R9" s="1"/>
      <c r="S9" s="1"/>
      <c r="T9" s="1">
        <f>T10+T11</f>
        <v>7236823.2939999998</v>
      </c>
    </row>
    <row r="10" spans="1:20" ht="24" customHeight="1" x14ac:dyDescent="0.2">
      <c r="A10" s="28"/>
      <c r="B10" s="1" t="s">
        <v>53</v>
      </c>
      <c r="C10" s="3">
        <v>217005.54</v>
      </c>
      <c r="D10" s="2">
        <v>7.96</v>
      </c>
      <c r="E10" s="2">
        <v>1727364.1</v>
      </c>
      <c r="F10" s="2">
        <v>112348.5</v>
      </c>
      <c r="G10" s="2">
        <v>7.96</v>
      </c>
      <c r="H10" s="2">
        <v>894294.06</v>
      </c>
      <c r="I10" s="2">
        <v>572343.61</v>
      </c>
      <c r="J10" s="2">
        <v>7.9600000076876896</v>
      </c>
      <c r="K10" s="2">
        <v>4555855.1399999997</v>
      </c>
      <c r="L10" s="2">
        <v>343040.8</v>
      </c>
      <c r="M10" s="2">
        <v>7.96</v>
      </c>
      <c r="N10" s="2">
        <v>2730604.77</v>
      </c>
      <c r="O10" s="1">
        <v>26172.15</v>
      </c>
      <c r="P10" s="1">
        <v>7.96</v>
      </c>
      <c r="Q10" s="1">
        <f>O10*P10</f>
        <v>208330.31400000001</v>
      </c>
      <c r="R10" s="1">
        <v>103959.45</v>
      </c>
      <c r="S10" s="1">
        <v>7.96</v>
      </c>
      <c r="T10" s="1">
        <f>R10*S10</f>
        <v>827517.22199999995</v>
      </c>
    </row>
    <row r="11" spans="1:20" ht="24" customHeight="1" x14ac:dyDescent="0.2">
      <c r="A11" s="28"/>
      <c r="B11" s="1" t="s">
        <v>54</v>
      </c>
      <c r="C11" s="3">
        <v>1815869.14</v>
      </c>
      <c r="D11" s="2">
        <v>6.76</v>
      </c>
      <c r="E11" s="2">
        <v>12275275.390000001</v>
      </c>
      <c r="F11" s="2">
        <v>1878791.61</v>
      </c>
      <c r="G11" s="2">
        <v>6.76</v>
      </c>
      <c r="H11" s="2">
        <v>12700631.279999999</v>
      </c>
      <c r="I11" s="2">
        <v>2969474.67</v>
      </c>
      <c r="J11" s="2">
        <v>6.7600000002694101</v>
      </c>
      <c r="K11" s="2">
        <v>20073648.77</v>
      </c>
      <c r="L11" s="2">
        <v>1657446.55</v>
      </c>
      <c r="M11" s="2">
        <v>6.7600000012066799</v>
      </c>
      <c r="N11" s="2">
        <v>11204338.68</v>
      </c>
      <c r="O11" s="1">
        <v>698341.17</v>
      </c>
      <c r="P11" s="1">
        <v>6.76</v>
      </c>
      <c r="Q11" s="1">
        <f>O11*P11</f>
        <v>4720786.3092</v>
      </c>
      <c r="R11" s="1">
        <v>948122.2</v>
      </c>
      <c r="S11" s="1">
        <v>6.76</v>
      </c>
      <c r="T11" s="1">
        <f>R11*S11</f>
        <v>6409306.0719999997</v>
      </c>
    </row>
    <row r="12" spans="1:20" ht="24" customHeight="1" x14ac:dyDescent="0.2">
      <c r="A12" s="28"/>
      <c r="B12" s="1" t="s">
        <v>18</v>
      </c>
      <c r="C12" s="3">
        <f>C13+C14</f>
        <v>267899.09999999998</v>
      </c>
      <c r="D12" s="2"/>
      <c r="E12" s="2">
        <f>E13+E14</f>
        <v>3160305.44</v>
      </c>
      <c r="F12" s="2">
        <f>F13+F14</f>
        <v>80656.88</v>
      </c>
      <c r="G12" s="2"/>
      <c r="H12" s="2">
        <f>H13+H14</f>
        <v>925171.47</v>
      </c>
      <c r="I12" s="2">
        <f>I13+I14</f>
        <v>310275.68000000005</v>
      </c>
      <c r="J12" s="2"/>
      <c r="K12" s="2">
        <f>K13+K14</f>
        <v>3575507.48</v>
      </c>
      <c r="L12" s="2">
        <f>L13+L14</f>
        <v>132753.51999999999</v>
      </c>
      <c r="M12" s="2"/>
      <c r="N12" s="2">
        <f>N13+N14</f>
        <v>1458496.86</v>
      </c>
      <c r="O12" s="1"/>
      <c r="P12" s="1"/>
      <c r="Q12" s="1">
        <f>Q13+Q14</f>
        <v>759094.18358955579</v>
      </c>
      <c r="R12" s="1"/>
      <c r="S12" s="1"/>
      <c r="T12" s="1">
        <f>T13+T14</f>
        <v>829329.16285393992</v>
      </c>
    </row>
    <row r="13" spans="1:20" ht="24" customHeight="1" x14ac:dyDescent="0.2">
      <c r="A13" s="28"/>
      <c r="B13" s="1" t="s">
        <v>53</v>
      </c>
      <c r="C13" s="3">
        <v>224989.5</v>
      </c>
      <c r="D13" s="2">
        <v>11.96</v>
      </c>
      <c r="E13" s="2">
        <v>2690874.42</v>
      </c>
      <c r="F13" s="2">
        <v>41946.28</v>
      </c>
      <c r="G13" s="2">
        <v>11.96</v>
      </c>
      <c r="H13" s="2">
        <v>501677.51</v>
      </c>
      <c r="I13" s="2">
        <v>177540.73</v>
      </c>
      <c r="J13" s="2">
        <v>11.959999995494</v>
      </c>
      <c r="K13" s="2">
        <v>2123387.13</v>
      </c>
      <c r="L13" s="2">
        <v>6052.3</v>
      </c>
      <c r="M13" s="2">
        <v>11.9600003304529</v>
      </c>
      <c r="N13" s="2">
        <v>72385.509999999995</v>
      </c>
      <c r="O13" s="1">
        <v>5899.95</v>
      </c>
      <c r="P13" s="1">
        <v>11.96</v>
      </c>
      <c r="Q13" s="1">
        <f>O13*P13</f>
        <v>70563.402000000002</v>
      </c>
      <c r="R13" s="1">
        <v>2197.15</v>
      </c>
      <c r="S13" s="1">
        <v>11.96</v>
      </c>
      <c r="T13" s="1">
        <f>R13*S13</f>
        <v>26277.914000000004</v>
      </c>
    </row>
    <row r="14" spans="1:20" ht="24" customHeight="1" x14ac:dyDescent="0.2">
      <c r="A14" s="28"/>
      <c r="B14" s="1" t="s">
        <v>54</v>
      </c>
      <c r="C14" s="3">
        <v>42909.599999999999</v>
      </c>
      <c r="D14" s="2">
        <v>10.94</v>
      </c>
      <c r="E14" s="2">
        <v>469431.02</v>
      </c>
      <c r="F14" s="2">
        <v>38710.6</v>
      </c>
      <c r="G14" s="2">
        <v>10.94</v>
      </c>
      <c r="H14" s="2">
        <v>423493.96</v>
      </c>
      <c r="I14" s="2">
        <v>132734.95000000001</v>
      </c>
      <c r="J14" s="2">
        <v>10.9399999773986</v>
      </c>
      <c r="K14" s="2">
        <v>1452120.35</v>
      </c>
      <c r="L14" s="2">
        <v>126701.22</v>
      </c>
      <c r="M14" s="2">
        <v>10.9400000252563</v>
      </c>
      <c r="N14" s="2">
        <v>1386111.35</v>
      </c>
      <c r="O14" s="1">
        <v>62937</v>
      </c>
      <c r="P14" s="2">
        <v>10.9400000252563</v>
      </c>
      <c r="Q14" s="1">
        <f>O14*P14</f>
        <v>688530.78158955579</v>
      </c>
      <c r="R14" s="1">
        <v>73405.05</v>
      </c>
      <c r="S14" s="2">
        <v>10.9400000252563</v>
      </c>
      <c r="T14" s="1">
        <f>R14*S14</f>
        <v>803051.24885393993</v>
      </c>
    </row>
    <row r="15" spans="1:20" ht="24" customHeight="1" x14ac:dyDescent="0.2">
      <c r="A15" s="28"/>
      <c r="B15" s="1" t="s">
        <v>55</v>
      </c>
      <c r="C15" s="3">
        <v>174272.96</v>
      </c>
      <c r="D15" s="2">
        <v>5</v>
      </c>
      <c r="E15" s="2">
        <v>871364.8</v>
      </c>
      <c r="F15" s="2">
        <v>358266.05</v>
      </c>
      <c r="G15" s="2">
        <v>5</v>
      </c>
      <c r="H15" s="2">
        <v>1791330.25</v>
      </c>
      <c r="I15" s="2">
        <v>86628.02</v>
      </c>
      <c r="J15" s="2">
        <v>5</v>
      </c>
      <c r="K15" s="2">
        <v>433140.1</v>
      </c>
      <c r="L15" s="2">
        <v>2276.6</v>
      </c>
      <c r="M15" s="2">
        <v>5</v>
      </c>
      <c r="N15" s="2">
        <v>11383</v>
      </c>
      <c r="O15" s="1"/>
      <c r="P15" s="1"/>
      <c r="Q15" s="1"/>
      <c r="R15" s="1">
        <v>5835.1</v>
      </c>
      <c r="S15" s="1">
        <v>5</v>
      </c>
      <c r="T15" s="1">
        <f>R15*S15</f>
        <v>29175.5</v>
      </c>
    </row>
    <row r="16" spans="1:20" ht="24" customHeight="1" x14ac:dyDescent="0.2">
      <c r="A16" s="28"/>
      <c r="B16" s="1" t="s">
        <v>56</v>
      </c>
      <c r="C16" s="3"/>
      <c r="D16" s="2"/>
      <c r="E16" s="2">
        <v>0</v>
      </c>
      <c r="F16" s="2"/>
      <c r="G16" s="2"/>
      <c r="H16" s="2">
        <v>48313.289999999797</v>
      </c>
      <c r="I16" s="2"/>
      <c r="J16" s="2"/>
      <c r="K16" s="2">
        <v>0</v>
      </c>
      <c r="L16" s="2"/>
      <c r="M16" s="2"/>
      <c r="N16" s="2">
        <v>266314.49000000098</v>
      </c>
      <c r="O16" s="1"/>
      <c r="P16" s="1"/>
      <c r="Q16" s="1"/>
      <c r="R16" s="1"/>
      <c r="S16" s="1"/>
      <c r="T16" s="1"/>
    </row>
    <row r="17" spans="1:20" ht="24" customHeight="1" x14ac:dyDescent="0.2">
      <c r="A17" s="29"/>
      <c r="B17" s="1" t="s">
        <v>50</v>
      </c>
      <c r="C17" s="3"/>
      <c r="D17" s="2"/>
      <c r="E17" s="2">
        <f>E9+E12+E15+E16</f>
        <v>18034309.73</v>
      </c>
      <c r="F17" s="2"/>
      <c r="G17" s="2"/>
      <c r="H17" s="2">
        <f>H9+H12+H15+H16</f>
        <v>16359740.35</v>
      </c>
      <c r="I17" s="2"/>
      <c r="J17" s="2"/>
      <c r="K17" s="2">
        <f>K9+K12+K15+K16</f>
        <v>28638151.490000002</v>
      </c>
      <c r="L17" s="2"/>
      <c r="M17" s="2"/>
      <c r="N17" s="2">
        <f t="shared" ref="N17:T17" si="0">N9+N12+N15+N16</f>
        <v>15671137.799999999</v>
      </c>
      <c r="O17" s="2">
        <f t="shared" si="0"/>
        <v>0</v>
      </c>
      <c r="P17" s="2">
        <f t="shared" si="0"/>
        <v>0</v>
      </c>
      <c r="Q17" s="2">
        <f t="shared" si="0"/>
        <v>5688210.8067895565</v>
      </c>
      <c r="R17" s="2">
        <f t="shared" si="0"/>
        <v>5835.1</v>
      </c>
      <c r="S17" s="2">
        <f t="shared" si="0"/>
        <v>5</v>
      </c>
      <c r="T17" s="2">
        <f t="shared" si="0"/>
        <v>8095327.9568539392</v>
      </c>
    </row>
    <row r="18" spans="1:20" ht="24" customHeight="1" x14ac:dyDescent="0.2">
      <c r="A18" s="24" t="s">
        <v>57</v>
      </c>
      <c r="B18" s="25"/>
      <c r="C18" s="3"/>
      <c r="D18" s="2"/>
      <c r="E18" s="2">
        <v>0</v>
      </c>
      <c r="F18" s="2"/>
      <c r="G18" s="2"/>
      <c r="H18" s="2">
        <v>0</v>
      </c>
      <c r="I18" s="2"/>
      <c r="J18" s="2"/>
      <c r="K18" s="2">
        <v>908631.88</v>
      </c>
      <c r="L18" s="2"/>
      <c r="M18" s="2"/>
      <c r="N18" s="2">
        <v>144251.51999999999</v>
      </c>
      <c r="O18" s="1"/>
      <c r="P18" s="1"/>
      <c r="Q18" s="1">
        <v>804107.72</v>
      </c>
      <c r="R18" s="1"/>
      <c r="S18" s="1"/>
      <c r="T18" s="1">
        <v>31021.16</v>
      </c>
    </row>
    <row r="19" spans="1:20" ht="24" customHeight="1" x14ac:dyDescent="0.2">
      <c r="A19" s="24" t="s">
        <v>58</v>
      </c>
      <c r="B19" s="25"/>
      <c r="C19" s="3"/>
      <c r="D19" s="2"/>
      <c r="E19" s="2">
        <v>221118.33</v>
      </c>
      <c r="F19" s="2"/>
      <c r="G19" s="2"/>
      <c r="H19" s="2">
        <v>265859.25</v>
      </c>
      <c r="I19" s="2"/>
      <c r="J19" s="2"/>
      <c r="K19" s="2">
        <v>338159.92</v>
      </c>
      <c r="L19" s="2"/>
      <c r="M19" s="2"/>
      <c r="N19" s="2">
        <v>218521.45</v>
      </c>
      <c r="O19" s="1"/>
      <c r="P19" s="1"/>
      <c r="Q19" s="1">
        <f>218341.42+448293.63</f>
        <v>666635.05000000005</v>
      </c>
      <c r="R19" s="1"/>
      <c r="S19" s="1"/>
      <c r="T19" s="1">
        <v>133782.19</v>
      </c>
    </row>
    <row r="20" spans="1:20" ht="24" customHeight="1" x14ac:dyDescent="0.2">
      <c r="A20" s="24" t="s">
        <v>59</v>
      </c>
      <c r="B20" s="25"/>
      <c r="C20" s="3"/>
      <c r="D20" s="2"/>
      <c r="E20" s="2">
        <f>E8+E17+E18+E19</f>
        <v>18255428.059999999</v>
      </c>
      <c r="F20" s="2"/>
      <c r="G20" s="2"/>
      <c r="H20" s="2">
        <f>H8+H17+H18+H19</f>
        <v>17024316.41</v>
      </c>
      <c r="I20" s="2"/>
      <c r="J20" s="2"/>
      <c r="K20" s="2">
        <f>K8+K17+K18+K19</f>
        <v>30544282.490000002</v>
      </c>
      <c r="L20" s="2"/>
      <c r="M20" s="2"/>
      <c r="N20" s="2">
        <f>N8+N17+N18+N19</f>
        <v>16033910.769999998</v>
      </c>
      <c r="O20" s="1"/>
      <c r="P20" s="1"/>
      <c r="Q20" s="2">
        <f>Q8+Q17+Q18+Q19</f>
        <v>7469988.3767895559</v>
      </c>
      <c r="R20" s="1"/>
      <c r="S20" s="1"/>
      <c r="T20" s="2">
        <f>T8+T17+T18+T19</f>
        <v>8429260.50685394</v>
      </c>
    </row>
    <row r="21" spans="1:20" ht="24" hidden="1" customHeight="1" x14ac:dyDescent="0.2">
      <c r="A21" s="27" t="s">
        <v>60</v>
      </c>
      <c r="B21" s="1" t="s">
        <v>61</v>
      </c>
      <c r="C21" s="3"/>
      <c r="D21" s="2"/>
      <c r="E21" s="2">
        <v>-224903.58</v>
      </c>
      <c r="F21" s="3"/>
      <c r="G21" s="2"/>
      <c r="H21" s="2">
        <v>-224903.58</v>
      </c>
      <c r="I21" s="2"/>
      <c r="J21" s="2"/>
      <c r="K21" s="2">
        <v>0</v>
      </c>
      <c r="L21" s="2"/>
      <c r="M21" s="2"/>
      <c r="N21" s="2">
        <v>0</v>
      </c>
      <c r="O21" s="2"/>
      <c r="P21" s="2"/>
      <c r="Q21" s="2">
        <v>0</v>
      </c>
    </row>
    <row r="22" spans="1:20" ht="24" hidden="1" customHeight="1" x14ac:dyDescent="0.2">
      <c r="A22" s="28"/>
      <c r="B22" s="1" t="s">
        <v>62</v>
      </c>
      <c r="C22" s="3"/>
      <c r="D22" s="2"/>
      <c r="E22" s="2">
        <v>-4000000</v>
      </c>
      <c r="F22" s="3"/>
      <c r="G22" s="2"/>
      <c r="H22" s="2">
        <v>-4000000</v>
      </c>
      <c r="I22" s="2"/>
      <c r="J22" s="2"/>
      <c r="K22" s="2">
        <v>0</v>
      </c>
      <c r="L22" s="2"/>
      <c r="M22" s="2"/>
      <c r="N22" s="2">
        <v>0</v>
      </c>
      <c r="O22" s="2"/>
      <c r="P22" s="2"/>
      <c r="Q22" s="2">
        <v>0</v>
      </c>
    </row>
    <row r="23" spans="1:20" ht="24" hidden="1" customHeight="1" x14ac:dyDescent="0.2">
      <c r="A23" s="28"/>
      <c r="B23" s="1" t="s">
        <v>63</v>
      </c>
      <c r="C23" s="3"/>
      <c r="D23" s="2"/>
      <c r="E23" s="2">
        <v>-327690.57</v>
      </c>
      <c r="F23" s="3"/>
      <c r="G23" s="2"/>
      <c r="H23" s="2">
        <v>-327690.57</v>
      </c>
      <c r="I23" s="2"/>
      <c r="J23" s="2"/>
      <c r="K23" s="2">
        <v>0</v>
      </c>
      <c r="L23" s="2"/>
      <c r="M23" s="2"/>
      <c r="N23" s="2">
        <v>0</v>
      </c>
      <c r="O23" s="2"/>
      <c r="P23" s="2"/>
      <c r="Q23" s="2">
        <v>0</v>
      </c>
    </row>
    <row r="24" spans="1:20" ht="24" hidden="1" customHeight="1" x14ac:dyDescent="0.2">
      <c r="A24" s="28"/>
      <c r="B24" s="1" t="s">
        <v>64</v>
      </c>
      <c r="C24" s="3"/>
      <c r="D24" s="2"/>
      <c r="E24" s="2">
        <v>-84930.37</v>
      </c>
      <c r="F24" s="3"/>
      <c r="G24" s="2"/>
      <c r="H24" s="2">
        <v>-84930.37</v>
      </c>
      <c r="I24" s="2"/>
      <c r="J24" s="2"/>
      <c r="K24" s="2">
        <v>0</v>
      </c>
      <c r="L24" s="2"/>
      <c r="M24" s="2"/>
      <c r="N24" s="2">
        <v>0</v>
      </c>
      <c r="O24" s="2"/>
      <c r="P24" s="2"/>
      <c r="Q24" s="2">
        <v>0</v>
      </c>
    </row>
    <row r="25" spans="1:20" ht="24" hidden="1" customHeight="1" x14ac:dyDescent="0.2">
      <c r="A25" s="28"/>
      <c r="B25" s="1" t="s">
        <v>65</v>
      </c>
      <c r="C25" s="3"/>
      <c r="D25" s="2"/>
      <c r="E25" s="2">
        <v>-194126.4</v>
      </c>
      <c r="F25" s="3"/>
      <c r="G25" s="2"/>
      <c r="H25" s="2">
        <v>-194126.4</v>
      </c>
      <c r="I25" s="2"/>
      <c r="J25" s="2"/>
      <c r="K25" s="2">
        <v>-216819.4</v>
      </c>
      <c r="L25" s="2"/>
      <c r="M25" s="2"/>
      <c r="N25" s="2">
        <v>-651253.9</v>
      </c>
      <c r="O25" s="2"/>
      <c r="P25" s="2"/>
      <c r="Q25" s="2">
        <v>-320895.8</v>
      </c>
    </row>
    <row r="26" spans="1:20" ht="24" hidden="1" customHeight="1" x14ac:dyDescent="0.2">
      <c r="A26" s="28"/>
      <c r="B26" s="1" t="s">
        <v>66</v>
      </c>
      <c r="C26" s="3"/>
      <c r="D26" s="2"/>
      <c r="E26" s="2">
        <v>0</v>
      </c>
      <c r="F26" s="3"/>
      <c r="G26" s="2"/>
      <c r="H26" s="2">
        <v>0</v>
      </c>
      <c r="I26" s="2"/>
      <c r="J26" s="2"/>
      <c r="K26" s="2">
        <v>0</v>
      </c>
      <c r="L26" s="2"/>
      <c r="M26" s="2"/>
      <c r="N26" s="2">
        <v>-39417.93</v>
      </c>
      <c r="O26" s="2"/>
      <c r="P26" s="2"/>
      <c r="Q26" s="2">
        <v>0</v>
      </c>
    </row>
    <row r="27" spans="1:20" ht="24" hidden="1" customHeight="1" x14ac:dyDescent="0.2">
      <c r="A27" s="29"/>
      <c r="B27" s="1" t="s">
        <v>67</v>
      </c>
      <c r="C27" s="3"/>
      <c r="D27" s="2"/>
      <c r="E27" s="2">
        <v>-1342377.71</v>
      </c>
      <c r="F27" s="3"/>
      <c r="G27" s="2"/>
      <c r="H27" s="2">
        <v>-1342377.71</v>
      </c>
      <c r="I27" s="2"/>
      <c r="J27" s="2"/>
      <c r="K27" s="2">
        <v>-1680749.7</v>
      </c>
      <c r="L27" s="2"/>
      <c r="M27" s="2"/>
      <c r="N27" s="2">
        <v>-3076224.26</v>
      </c>
      <c r="O27" s="2"/>
      <c r="P27" s="2"/>
      <c r="Q27" s="2">
        <v>-1585726.65</v>
      </c>
    </row>
    <row r="37" spans="1:36" ht="24" customHeight="1" x14ac:dyDescent="0.2">
      <c r="A37" s="27" t="s">
        <v>25</v>
      </c>
      <c r="B37" s="34"/>
      <c r="C37" s="40" t="s">
        <v>68</v>
      </c>
      <c r="D37" s="32"/>
      <c r="E37" s="25"/>
      <c r="F37" s="24" t="s">
        <v>69</v>
      </c>
      <c r="G37" s="32"/>
      <c r="H37" s="25"/>
      <c r="I37" s="24" t="s">
        <v>70</v>
      </c>
      <c r="J37" s="32"/>
      <c r="K37" s="25"/>
      <c r="L37" s="24" t="s">
        <v>71</v>
      </c>
      <c r="M37" s="32"/>
      <c r="N37" s="25"/>
      <c r="O37" s="24" t="s">
        <v>72</v>
      </c>
      <c r="P37" s="32"/>
      <c r="Q37" s="25"/>
      <c r="R37" s="24" t="s">
        <v>73</v>
      </c>
      <c r="S37" s="32"/>
      <c r="T37" s="25"/>
      <c r="U37" s="24" t="s">
        <v>74</v>
      </c>
      <c r="V37" s="32"/>
      <c r="W37" s="25"/>
      <c r="X37" s="24" t="s">
        <v>75</v>
      </c>
      <c r="Y37" s="32"/>
      <c r="Z37" s="25"/>
      <c r="AA37" s="24" t="s">
        <v>76</v>
      </c>
      <c r="AB37" s="32"/>
      <c r="AC37" s="25"/>
      <c r="AD37" s="24" t="s">
        <v>77</v>
      </c>
      <c r="AE37" s="32"/>
      <c r="AF37" s="25"/>
      <c r="AG37" s="24" t="s">
        <v>78</v>
      </c>
      <c r="AH37" s="32"/>
      <c r="AI37" s="25"/>
    </row>
    <row r="38" spans="1:36" ht="24" customHeight="1" x14ac:dyDescent="0.2">
      <c r="A38" s="35"/>
      <c r="B38" s="36"/>
      <c r="C38" s="24" t="s">
        <v>3</v>
      </c>
      <c r="D38" s="32"/>
      <c r="E38" s="25"/>
      <c r="F38" s="24" t="s">
        <v>4</v>
      </c>
      <c r="G38" s="32"/>
      <c r="H38" s="25"/>
      <c r="I38" s="24" t="s">
        <v>28</v>
      </c>
      <c r="J38" s="32"/>
      <c r="K38" s="25"/>
      <c r="L38" s="24" t="s">
        <v>29</v>
      </c>
      <c r="M38" s="32"/>
      <c r="N38" s="25"/>
      <c r="O38" s="24" t="s">
        <v>6</v>
      </c>
      <c r="P38" s="32"/>
      <c r="Q38" s="25"/>
      <c r="R38" s="24" t="s">
        <v>7</v>
      </c>
      <c r="S38" s="32"/>
      <c r="T38" s="25"/>
      <c r="U38" s="24" t="s">
        <v>8</v>
      </c>
      <c r="V38" s="32"/>
      <c r="W38" s="25"/>
      <c r="X38" s="24" t="s">
        <v>9</v>
      </c>
      <c r="Y38" s="32"/>
      <c r="Z38" s="25"/>
      <c r="AA38" s="24" t="s">
        <v>10</v>
      </c>
      <c r="AB38" s="32"/>
      <c r="AC38" s="25"/>
      <c r="AD38" s="24" t="s">
        <v>11</v>
      </c>
      <c r="AE38" s="32"/>
      <c r="AF38" s="25"/>
      <c r="AG38" s="24" t="s">
        <v>12</v>
      </c>
      <c r="AH38" s="32"/>
      <c r="AI38" s="25"/>
    </row>
    <row r="39" spans="1:36" ht="24" customHeight="1" x14ac:dyDescent="0.2">
      <c r="A39" s="37"/>
      <c r="B39" s="38"/>
      <c r="C39" s="2" t="s">
        <v>44</v>
      </c>
      <c r="D39" s="2" t="s">
        <v>45</v>
      </c>
      <c r="E39" s="2" t="s">
        <v>46</v>
      </c>
      <c r="F39" s="2" t="s">
        <v>44</v>
      </c>
      <c r="G39" s="2" t="s">
        <v>45</v>
      </c>
      <c r="H39" s="2" t="s">
        <v>46</v>
      </c>
      <c r="I39" s="2" t="s">
        <v>44</v>
      </c>
      <c r="J39" s="2" t="s">
        <v>45</v>
      </c>
      <c r="K39" s="2" t="s">
        <v>46</v>
      </c>
      <c r="L39" s="2" t="s">
        <v>44</v>
      </c>
      <c r="M39" s="2" t="s">
        <v>45</v>
      </c>
      <c r="N39" s="2" t="s">
        <v>46</v>
      </c>
      <c r="O39" s="2" t="s">
        <v>44</v>
      </c>
      <c r="P39" s="2" t="s">
        <v>45</v>
      </c>
      <c r="Q39" s="2" t="s">
        <v>46</v>
      </c>
      <c r="R39" s="2" t="s">
        <v>44</v>
      </c>
      <c r="S39" s="2" t="s">
        <v>45</v>
      </c>
      <c r="T39" s="2" t="s">
        <v>46</v>
      </c>
      <c r="U39" s="2" t="s">
        <v>44</v>
      </c>
      <c r="V39" s="2" t="s">
        <v>45</v>
      </c>
      <c r="W39" s="2" t="s">
        <v>46</v>
      </c>
      <c r="X39" s="2" t="s">
        <v>44</v>
      </c>
      <c r="Y39" s="2" t="s">
        <v>45</v>
      </c>
      <c r="Z39" s="2" t="s">
        <v>46</v>
      </c>
      <c r="AA39" s="2" t="s">
        <v>44</v>
      </c>
      <c r="AB39" s="2" t="s">
        <v>45</v>
      </c>
      <c r="AC39" s="2" t="s">
        <v>46</v>
      </c>
      <c r="AD39" s="2" t="s">
        <v>44</v>
      </c>
      <c r="AE39" s="2" t="s">
        <v>45</v>
      </c>
      <c r="AF39" s="2" t="s">
        <v>46</v>
      </c>
      <c r="AG39" s="2" t="s">
        <v>44</v>
      </c>
      <c r="AH39" s="2" t="s">
        <v>45</v>
      </c>
      <c r="AI39" s="2" t="s">
        <v>46</v>
      </c>
    </row>
    <row r="40" spans="1:36" ht="24" customHeight="1" x14ac:dyDescent="0.2">
      <c r="A40" s="27" t="s">
        <v>47</v>
      </c>
      <c r="B40" s="1" t="s">
        <v>48</v>
      </c>
      <c r="C40" s="3">
        <v>603000</v>
      </c>
      <c r="D40" s="3">
        <v>1</v>
      </c>
      <c r="E40" s="3">
        <v>603000</v>
      </c>
      <c r="F40" s="3">
        <v>1478255.76</v>
      </c>
      <c r="G40" s="3">
        <v>1</v>
      </c>
      <c r="H40" s="3">
        <v>1478255.76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v>811226.18</v>
      </c>
      <c r="V40" s="3">
        <v>1</v>
      </c>
      <c r="W40" s="3">
        <v>811226.18</v>
      </c>
      <c r="X40" s="3">
        <v>41805</v>
      </c>
      <c r="Y40" s="3">
        <v>1</v>
      </c>
      <c r="Z40" s="3">
        <v>41805</v>
      </c>
      <c r="AA40" s="3">
        <v>165062</v>
      </c>
      <c r="AB40" s="3">
        <v>1</v>
      </c>
      <c r="AC40" s="3">
        <v>165062</v>
      </c>
      <c r="AD40" s="3">
        <v>316204</v>
      </c>
      <c r="AE40" s="3">
        <v>1</v>
      </c>
      <c r="AF40" s="3">
        <v>316204</v>
      </c>
      <c r="AG40" s="3">
        <v>199304.8</v>
      </c>
      <c r="AH40" s="3">
        <v>1</v>
      </c>
      <c r="AI40" s="3">
        <v>199304.8</v>
      </c>
    </row>
    <row r="41" spans="1:36" ht="24" customHeight="1" x14ac:dyDescent="0.2">
      <c r="A41" s="28"/>
      <c r="B41" s="1" t="s">
        <v>49</v>
      </c>
      <c r="C41" s="3"/>
      <c r="D41" s="3"/>
      <c r="E41" s="3"/>
      <c r="F41" s="3"/>
      <c r="G41" s="3"/>
      <c r="H41" s="3">
        <v>0</v>
      </c>
      <c r="I41" s="3"/>
      <c r="J41" s="3"/>
      <c r="K41" s="3">
        <v>0</v>
      </c>
      <c r="L41" s="3"/>
      <c r="M41" s="3"/>
      <c r="N41" s="3">
        <v>0</v>
      </c>
      <c r="O41" s="3"/>
      <c r="P41" s="3"/>
      <c r="Q41" s="3">
        <v>2158278.4500000002</v>
      </c>
      <c r="R41" s="3"/>
      <c r="S41" s="3"/>
      <c r="T41" s="3">
        <v>0</v>
      </c>
      <c r="U41" s="3"/>
      <c r="V41" s="3"/>
      <c r="W41" s="3">
        <v>0</v>
      </c>
      <c r="X41" s="3"/>
      <c r="Y41" s="3"/>
      <c r="Z41" s="3">
        <v>0</v>
      </c>
      <c r="AA41" s="3"/>
      <c r="AB41" s="3"/>
      <c r="AC41" s="3">
        <v>0</v>
      </c>
      <c r="AD41" s="3"/>
      <c r="AE41" s="3"/>
      <c r="AF41" s="3">
        <v>0</v>
      </c>
      <c r="AG41" s="3"/>
      <c r="AH41" s="3"/>
      <c r="AI41" s="3">
        <v>0</v>
      </c>
    </row>
    <row r="42" spans="1:36" ht="24" customHeight="1" x14ac:dyDescent="0.2">
      <c r="A42" s="29"/>
      <c r="B42" s="1" t="s">
        <v>50</v>
      </c>
      <c r="C42" s="3"/>
      <c r="D42" s="3"/>
      <c r="E42" s="3">
        <f>E40+E41</f>
        <v>603000</v>
      </c>
      <c r="F42" s="3"/>
      <c r="G42" s="3"/>
      <c r="H42" s="3">
        <f>H40+H41</f>
        <v>1478255.76</v>
      </c>
      <c r="I42" s="3"/>
      <c r="J42" s="3"/>
      <c r="K42" s="3">
        <f>K40+K41</f>
        <v>0</v>
      </c>
      <c r="L42" s="3"/>
      <c r="M42" s="3"/>
      <c r="N42" s="3">
        <f>N40+N41</f>
        <v>0</v>
      </c>
      <c r="O42" s="3"/>
      <c r="P42" s="3"/>
      <c r="Q42" s="3">
        <f>Q40+Q41</f>
        <v>2158278.4500000002</v>
      </c>
      <c r="R42" s="3"/>
      <c r="S42" s="3"/>
      <c r="T42" s="3">
        <f>T40+T41</f>
        <v>0</v>
      </c>
      <c r="U42" s="3"/>
      <c r="V42" s="3"/>
      <c r="W42" s="3">
        <f>W40+W41</f>
        <v>811226.18</v>
      </c>
      <c r="X42" s="3"/>
      <c r="Y42" s="3"/>
      <c r="Z42" s="3">
        <f>Z40+Z41</f>
        <v>41805</v>
      </c>
      <c r="AA42" s="3"/>
      <c r="AB42" s="3"/>
      <c r="AC42" s="3">
        <f>AC40+AC41</f>
        <v>165062</v>
      </c>
      <c r="AD42" s="3"/>
      <c r="AE42" s="3"/>
      <c r="AF42" s="3">
        <f>AF40+AF41</f>
        <v>316204</v>
      </c>
      <c r="AG42" s="3"/>
      <c r="AH42" s="3"/>
      <c r="AI42" s="3">
        <f>AI40+AI41</f>
        <v>199304.8</v>
      </c>
    </row>
    <row r="43" spans="1:36" ht="24" customHeight="1" x14ac:dyDescent="0.2">
      <c r="A43" s="39" t="s">
        <v>51</v>
      </c>
      <c r="B43" s="1" t="s">
        <v>52</v>
      </c>
      <c r="C43" s="3"/>
      <c r="D43" s="3"/>
      <c r="E43" s="3">
        <f>E44+E45</f>
        <v>8801430.7999999989</v>
      </c>
      <c r="F43" s="3"/>
      <c r="G43" s="3"/>
      <c r="H43" s="3">
        <f>H44+H45</f>
        <v>16444363.459999999</v>
      </c>
      <c r="I43" s="3"/>
      <c r="J43" s="3"/>
      <c r="K43" s="3">
        <f>K44+K45</f>
        <v>13940765.01</v>
      </c>
      <c r="L43" s="3"/>
      <c r="M43" s="3"/>
      <c r="N43" s="3">
        <f>N44+N45</f>
        <v>16440457.52</v>
      </c>
      <c r="O43" s="3"/>
      <c r="P43" s="3"/>
      <c r="Q43" s="3">
        <f>Q44+Q45</f>
        <v>15651924.23</v>
      </c>
      <c r="R43" s="3"/>
      <c r="S43" s="3"/>
      <c r="T43" s="3">
        <f>T44+T45</f>
        <v>14899145.26</v>
      </c>
      <c r="U43" s="3"/>
      <c r="V43" s="3"/>
      <c r="W43" s="3">
        <f>W44+W45</f>
        <v>12712170.4</v>
      </c>
      <c r="X43" s="3"/>
      <c r="Y43" s="3"/>
      <c r="Z43" s="3">
        <f>Z44+Z45</f>
        <v>14428454.16</v>
      </c>
      <c r="AA43" s="3"/>
      <c r="AB43" s="3"/>
      <c r="AC43" s="3">
        <f>AC44+AC45</f>
        <v>11423363.15</v>
      </c>
      <c r="AD43" s="3"/>
      <c r="AE43" s="3"/>
      <c r="AF43" s="3">
        <f>AF44+AF45</f>
        <v>13017837.73</v>
      </c>
      <c r="AG43" s="3"/>
      <c r="AH43" s="3"/>
      <c r="AI43" s="3">
        <f>AI44+AI45</f>
        <v>13378301.68</v>
      </c>
    </row>
    <row r="44" spans="1:36" s="9" customFormat="1" ht="24" customHeight="1" x14ac:dyDescent="0.2">
      <c r="A44" s="28"/>
      <c r="B44" s="7" t="s">
        <v>53</v>
      </c>
      <c r="C44" s="8">
        <v>171048.87</v>
      </c>
      <c r="D44" s="8">
        <v>7.96</v>
      </c>
      <c r="E44" s="8">
        <f>C44*D44</f>
        <v>1361549.0052</v>
      </c>
      <c r="F44" s="8">
        <v>594680.78</v>
      </c>
      <c r="G44" s="8">
        <v>7.96</v>
      </c>
      <c r="H44" s="8">
        <v>4733659.01</v>
      </c>
      <c r="I44" s="8">
        <v>374248.95</v>
      </c>
      <c r="J44" s="8">
        <v>7.9599999946559601</v>
      </c>
      <c r="K44" s="8">
        <v>2979021.64</v>
      </c>
      <c r="L44" s="8">
        <v>266376.75</v>
      </c>
      <c r="M44" s="8">
        <v>7.96</v>
      </c>
      <c r="N44" s="8">
        <v>2120358.9300000002</v>
      </c>
      <c r="O44" s="8">
        <v>313651.20000000001</v>
      </c>
      <c r="P44" s="8">
        <v>7.95999999362349</v>
      </c>
      <c r="Q44" s="8">
        <v>2496663.5499999998</v>
      </c>
      <c r="R44" s="8">
        <v>254457.5</v>
      </c>
      <c r="S44" s="8">
        <v>7.96</v>
      </c>
      <c r="T44" s="8">
        <v>2025481.7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9">
        <f t="shared" ref="AJ44:AJ54" si="1">F44+I44+L44+O44+R44+U44+X44+AA44+AD44+AG44</f>
        <v>1803415.18</v>
      </c>
    </row>
    <row r="45" spans="1:36" s="12" customFormat="1" ht="24" customHeight="1" x14ac:dyDescent="0.2">
      <c r="A45" s="28"/>
      <c r="B45" s="10" t="s">
        <v>54</v>
      </c>
      <c r="C45" s="11">
        <v>1100574.23</v>
      </c>
      <c r="D45" s="11">
        <v>6.76</v>
      </c>
      <c r="E45" s="11">
        <f>C45*D45</f>
        <v>7439881.7947999993</v>
      </c>
      <c r="F45" s="11">
        <v>1732352.73</v>
      </c>
      <c r="G45" s="11">
        <v>6.76</v>
      </c>
      <c r="H45" s="11">
        <v>11710704.449999999</v>
      </c>
      <c r="I45" s="11">
        <v>1621559.67</v>
      </c>
      <c r="J45" s="11">
        <v>6.76000000049335</v>
      </c>
      <c r="K45" s="11">
        <v>10961743.369999999</v>
      </c>
      <c r="L45" s="11">
        <v>2118357.7799999998</v>
      </c>
      <c r="M45" s="11">
        <v>6.7599999986782198</v>
      </c>
      <c r="N45" s="11">
        <v>14320098.59</v>
      </c>
      <c r="O45" s="11">
        <v>1946044.48</v>
      </c>
      <c r="P45" s="11">
        <v>6.7599999975334599</v>
      </c>
      <c r="Q45" s="11">
        <v>13155260.68</v>
      </c>
      <c r="R45" s="11">
        <v>1904388.1</v>
      </c>
      <c r="S45" s="11">
        <v>6.7600000021004103</v>
      </c>
      <c r="T45" s="11">
        <v>12873663.560000001</v>
      </c>
      <c r="U45" s="11">
        <v>1880498.58</v>
      </c>
      <c r="V45" s="11">
        <v>6.7599999995745801</v>
      </c>
      <c r="W45" s="11">
        <v>12712170.4</v>
      </c>
      <c r="X45" s="11">
        <v>2134386.71</v>
      </c>
      <c r="Y45" s="11">
        <v>6.7600000001874099</v>
      </c>
      <c r="Z45" s="11">
        <v>14428454.16</v>
      </c>
      <c r="AA45" s="11">
        <v>1689846.62</v>
      </c>
      <c r="AB45" s="11">
        <v>6.7599999992898798</v>
      </c>
      <c r="AC45" s="11">
        <v>11423363.15</v>
      </c>
      <c r="AD45" s="11">
        <v>1925715.64</v>
      </c>
      <c r="AE45" s="11">
        <v>6.7600000018694404</v>
      </c>
      <c r="AF45" s="11">
        <v>13017837.73</v>
      </c>
      <c r="AG45" s="11">
        <v>1979038.71</v>
      </c>
      <c r="AH45" s="11">
        <v>6.7600000002021199</v>
      </c>
      <c r="AI45" s="11">
        <v>13378301.68</v>
      </c>
      <c r="AJ45" s="9">
        <f t="shared" si="1"/>
        <v>18932189.020000003</v>
      </c>
    </row>
    <row r="46" spans="1:36" ht="24" customHeight="1" x14ac:dyDescent="0.2">
      <c r="A46" s="28"/>
      <c r="B46" s="1" t="s">
        <v>18</v>
      </c>
      <c r="C46" s="3"/>
      <c r="D46" s="3"/>
      <c r="E46" s="3">
        <f>E47+E48</f>
        <v>0</v>
      </c>
      <c r="F46" s="3">
        <f>F47+F48</f>
        <v>0</v>
      </c>
      <c r="G46" s="3"/>
      <c r="H46" s="3">
        <f>H47+H48</f>
        <v>0</v>
      </c>
      <c r="I46" s="3">
        <f>I47+I48</f>
        <v>0</v>
      </c>
      <c r="J46" s="3"/>
      <c r="K46" s="3">
        <f>K47+K48</f>
        <v>0</v>
      </c>
      <c r="L46" s="3">
        <f>L47+L48</f>
        <v>6414.75</v>
      </c>
      <c r="M46" s="3"/>
      <c r="N46" s="3">
        <f>N47+N48</f>
        <v>70177.37</v>
      </c>
      <c r="O46" s="3">
        <f>O47+O48</f>
        <v>94164.85</v>
      </c>
      <c r="P46" s="3"/>
      <c r="Q46" s="3">
        <f>Q47+Q48</f>
        <v>1042100.83</v>
      </c>
      <c r="R46" s="3">
        <f>R47+R48</f>
        <v>116178.82</v>
      </c>
      <c r="S46" s="3"/>
      <c r="T46" s="3">
        <f>T47+T48</f>
        <v>1285235.3400000001</v>
      </c>
      <c r="U46" s="3">
        <f>U47+U48</f>
        <v>42304.35</v>
      </c>
      <c r="V46" s="3"/>
      <c r="W46" s="3">
        <f>W47+W48</f>
        <v>462809.59</v>
      </c>
      <c r="X46" s="3">
        <f>X47+X48</f>
        <v>65699.5</v>
      </c>
      <c r="Y46" s="3"/>
      <c r="Z46" s="3">
        <f>Z47+Z48</f>
        <v>718752.53</v>
      </c>
      <c r="AA46" s="3">
        <f>AA47+AA48</f>
        <v>37384.199999999997</v>
      </c>
      <c r="AB46" s="3"/>
      <c r="AC46" s="3">
        <f>AC47+AC48</f>
        <v>408983.15</v>
      </c>
      <c r="AD46" s="3">
        <f>AD47+AD48</f>
        <v>42007.51</v>
      </c>
      <c r="AE46" s="3"/>
      <c r="AF46" s="3">
        <f>AF47+AF48</f>
        <v>459562.16</v>
      </c>
      <c r="AG46" s="3">
        <f>AG47+AG48</f>
        <v>63875.4</v>
      </c>
      <c r="AH46" s="3"/>
      <c r="AI46" s="3">
        <f>AI47+AI48</f>
        <v>698796.88</v>
      </c>
      <c r="AJ46" s="9">
        <f t="shared" si="1"/>
        <v>468029.38000000006</v>
      </c>
    </row>
    <row r="47" spans="1:36" s="9" customFormat="1" ht="24" customHeight="1" x14ac:dyDescent="0.2">
      <c r="A47" s="28"/>
      <c r="B47" s="7" t="s">
        <v>53</v>
      </c>
      <c r="C47" s="1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>
        <v>11703.3</v>
      </c>
      <c r="P47" s="8">
        <v>11.960000170892</v>
      </c>
      <c r="Q47" s="8">
        <v>139971.47</v>
      </c>
      <c r="R47" s="8">
        <v>13959.85</v>
      </c>
      <c r="S47" s="8">
        <v>11.960000286535999</v>
      </c>
      <c r="T47" s="8">
        <v>166959.81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9">
        <f t="shared" si="1"/>
        <v>25663.15</v>
      </c>
    </row>
    <row r="48" spans="1:36" s="12" customFormat="1" ht="24" customHeight="1" x14ac:dyDescent="0.2">
      <c r="A48" s="28"/>
      <c r="B48" s="10" t="s">
        <v>54</v>
      </c>
      <c r="C48" s="11"/>
      <c r="D48" s="11"/>
      <c r="E48" s="11"/>
      <c r="F48" s="11"/>
      <c r="G48" s="11"/>
      <c r="H48" s="11"/>
      <c r="I48" s="11"/>
      <c r="J48" s="11"/>
      <c r="K48" s="11"/>
      <c r="L48" s="11">
        <v>6414.75</v>
      </c>
      <c r="M48" s="11">
        <v>10.9400007794536</v>
      </c>
      <c r="N48" s="11">
        <v>70177.37</v>
      </c>
      <c r="O48" s="11">
        <v>82461.55</v>
      </c>
      <c r="P48" s="11">
        <v>10.940000036380599</v>
      </c>
      <c r="Q48" s="11">
        <v>902129.36</v>
      </c>
      <c r="R48" s="11">
        <v>102218.97</v>
      </c>
      <c r="S48" s="11">
        <v>10.9399999823908</v>
      </c>
      <c r="T48" s="11">
        <v>1118275.53</v>
      </c>
      <c r="U48" s="11">
        <v>42304.35</v>
      </c>
      <c r="V48" s="11">
        <v>10.9400000236382</v>
      </c>
      <c r="W48" s="11">
        <v>462809.59</v>
      </c>
      <c r="X48" s="11">
        <v>65699.5</v>
      </c>
      <c r="Y48" s="11">
        <v>10.94</v>
      </c>
      <c r="Z48" s="11">
        <v>718752.53</v>
      </c>
      <c r="AA48" s="11">
        <v>37384.199999999997</v>
      </c>
      <c r="AB48" s="11">
        <v>10.940000053498499</v>
      </c>
      <c r="AC48" s="11">
        <v>408983.15</v>
      </c>
      <c r="AD48" s="11">
        <v>42007.51</v>
      </c>
      <c r="AE48" s="11">
        <v>10.9400000142832</v>
      </c>
      <c r="AF48" s="11">
        <v>459562.16</v>
      </c>
      <c r="AG48" s="11">
        <v>63875.4</v>
      </c>
      <c r="AH48" s="11">
        <v>10.9400000626219</v>
      </c>
      <c r="AI48" s="11">
        <v>698796.88</v>
      </c>
      <c r="AJ48" s="9">
        <f t="shared" si="1"/>
        <v>442366.23000000004</v>
      </c>
    </row>
    <row r="49" spans="1:41" s="9" customFormat="1" ht="24" customHeight="1" x14ac:dyDescent="0.2">
      <c r="A49" s="28"/>
      <c r="B49" s="7" t="s">
        <v>55</v>
      </c>
      <c r="C49" s="8">
        <v>135607.01999999999</v>
      </c>
      <c r="D49" s="8">
        <v>7.71</v>
      </c>
      <c r="E49" s="8">
        <f>C49*D49</f>
        <v>1045530.1242</v>
      </c>
      <c r="F49" s="8">
        <v>77168.92</v>
      </c>
      <c r="G49" s="8">
        <v>5</v>
      </c>
      <c r="H49" s="8">
        <v>385844.6</v>
      </c>
      <c r="I49" s="8">
        <v>127803.4</v>
      </c>
      <c r="J49" s="8">
        <v>5</v>
      </c>
      <c r="K49" s="8">
        <v>639017</v>
      </c>
      <c r="L49" s="8">
        <v>59744.85</v>
      </c>
      <c r="M49" s="8">
        <v>5</v>
      </c>
      <c r="N49" s="8">
        <v>298724.25</v>
      </c>
      <c r="O49" s="8">
        <v>89778.7</v>
      </c>
      <c r="P49" s="8">
        <v>5</v>
      </c>
      <c r="Q49" s="8">
        <v>448893.5</v>
      </c>
      <c r="R49" s="8">
        <v>132000.95000000001</v>
      </c>
      <c r="S49" s="8">
        <v>5</v>
      </c>
      <c r="T49" s="8">
        <v>660004.75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9">
        <f t="shared" si="1"/>
        <v>486496.82</v>
      </c>
      <c r="AN49" s="9">
        <f>AJ48+AJ45</f>
        <v>19374555.250000004</v>
      </c>
      <c r="AO49" s="9">
        <f>AJ48/AN49</f>
        <v>2.2832329531796605E-2</v>
      </c>
    </row>
    <row r="50" spans="1:41" ht="24" customHeight="1" x14ac:dyDescent="0.2">
      <c r="A50" s="28"/>
      <c r="B50" s="1" t="s">
        <v>56</v>
      </c>
      <c r="C50" s="3"/>
      <c r="D50" s="3"/>
      <c r="E50" s="3">
        <v>14547.93</v>
      </c>
      <c r="F50" s="3"/>
      <c r="G50" s="3"/>
      <c r="H50" s="3">
        <v>1233263.6399999999</v>
      </c>
      <c r="I50" s="3"/>
      <c r="J50" s="3"/>
      <c r="K50" s="3">
        <v>24855.599999999598</v>
      </c>
      <c r="L50" s="3"/>
      <c r="M50" s="3"/>
      <c r="N50" s="3">
        <v>80389.930000000706</v>
      </c>
      <c r="O50" s="3"/>
      <c r="P50" s="3"/>
      <c r="Q50" s="3">
        <v>81410.130000000907</v>
      </c>
      <c r="R50" s="3"/>
      <c r="S50" s="3"/>
      <c r="T50" s="3">
        <v>0</v>
      </c>
      <c r="U50" s="3"/>
      <c r="V50" s="3"/>
      <c r="W50" s="3">
        <v>32194.799999998701</v>
      </c>
      <c r="X50" s="3"/>
      <c r="Y50" s="3"/>
      <c r="Z50" s="3">
        <v>252198.14</v>
      </c>
      <c r="AA50" s="3"/>
      <c r="AB50" s="3"/>
      <c r="AC50" s="3">
        <v>116537.16</v>
      </c>
      <c r="AD50" s="3"/>
      <c r="AE50" s="3"/>
      <c r="AF50" s="3">
        <v>21553.689999999599</v>
      </c>
      <c r="AG50" s="3"/>
      <c r="AH50" s="3"/>
      <c r="AI50" s="3">
        <v>0</v>
      </c>
      <c r="AJ50" s="9">
        <f t="shared" si="1"/>
        <v>0</v>
      </c>
    </row>
    <row r="51" spans="1:41" ht="24" customHeight="1" x14ac:dyDescent="0.2">
      <c r="A51" s="29"/>
      <c r="B51" s="1" t="s">
        <v>50</v>
      </c>
      <c r="C51" s="3"/>
      <c r="D51" s="3"/>
      <c r="E51" s="3">
        <f>E43+E46+E49+E50</f>
        <v>9861508.8541999981</v>
      </c>
      <c r="F51" s="3"/>
      <c r="G51" s="3"/>
      <c r="H51" s="3">
        <f>H43+H46+H49+H50</f>
        <v>18063471.699999999</v>
      </c>
      <c r="I51" s="3"/>
      <c r="J51" s="3"/>
      <c r="K51" s="3">
        <f>K43+K46+K49+K50</f>
        <v>14604637.609999999</v>
      </c>
      <c r="L51" s="3"/>
      <c r="M51" s="3"/>
      <c r="N51" s="3">
        <f>N43+N46+N49+N50</f>
        <v>16889749.07</v>
      </c>
      <c r="O51" s="3"/>
      <c r="P51" s="3"/>
      <c r="Q51" s="3">
        <f>Q43+Q46+Q49+Q50</f>
        <v>17224328.690000005</v>
      </c>
      <c r="R51" s="3"/>
      <c r="S51" s="3"/>
      <c r="T51" s="3">
        <f>T43+T46+T49+T50</f>
        <v>16844385.350000001</v>
      </c>
      <c r="U51" s="3"/>
      <c r="V51" s="3"/>
      <c r="W51" s="3">
        <f>W43+W46+W49+W50</f>
        <v>13207174.789999999</v>
      </c>
      <c r="X51" s="3"/>
      <c r="Y51" s="3"/>
      <c r="Z51" s="3">
        <f>Z43+Z46+Z49+Z50</f>
        <v>15399404.83</v>
      </c>
      <c r="AA51" s="3"/>
      <c r="AB51" s="3"/>
      <c r="AC51" s="3">
        <f>AC43+AC46+AC49+AC50</f>
        <v>11948883.460000001</v>
      </c>
      <c r="AD51" s="3"/>
      <c r="AE51" s="3"/>
      <c r="AF51" s="3">
        <f>AF43+AF46+AF49+AF50</f>
        <v>13498953.58</v>
      </c>
      <c r="AG51" s="3"/>
      <c r="AH51" s="3"/>
      <c r="AI51" s="3">
        <f>AI43+AI46+AI49+AI50</f>
        <v>14077098.560000001</v>
      </c>
      <c r="AJ51" s="9">
        <f t="shared" si="1"/>
        <v>0</v>
      </c>
    </row>
    <row r="52" spans="1:41" ht="24" customHeight="1" x14ac:dyDescent="0.2">
      <c r="A52" s="24" t="s">
        <v>57</v>
      </c>
      <c r="B52" s="25"/>
      <c r="C52" s="3"/>
      <c r="D52" s="3"/>
      <c r="E52" s="3">
        <v>1003495.2</v>
      </c>
      <c r="F52" s="3"/>
      <c r="G52" s="3"/>
      <c r="H52" s="3">
        <v>0</v>
      </c>
      <c r="I52" s="3"/>
      <c r="J52" s="3"/>
      <c r="K52" s="3">
        <v>0</v>
      </c>
      <c r="L52" s="3"/>
      <c r="M52" s="3"/>
      <c r="N52" s="3">
        <v>0</v>
      </c>
      <c r="O52" s="3"/>
      <c r="P52" s="3"/>
      <c r="Q52" s="3">
        <v>0</v>
      </c>
      <c r="R52" s="3"/>
      <c r="S52" s="3"/>
      <c r="T52" s="3">
        <v>0</v>
      </c>
      <c r="U52" s="3"/>
      <c r="V52" s="3"/>
      <c r="W52" s="3">
        <v>0</v>
      </c>
      <c r="X52" s="3"/>
      <c r="Y52" s="3"/>
      <c r="Z52" s="3">
        <v>0</v>
      </c>
      <c r="AA52" s="3"/>
      <c r="AB52" s="3"/>
      <c r="AC52" s="3">
        <v>0</v>
      </c>
      <c r="AD52" s="3"/>
      <c r="AE52" s="3"/>
      <c r="AF52" s="3">
        <v>793583.16</v>
      </c>
      <c r="AG52" s="3"/>
      <c r="AH52" s="3"/>
      <c r="AI52" s="3">
        <v>0</v>
      </c>
      <c r="AJ52" s="9">
        <f t="shared" si="1"/>
        <v>0</v>
      </c>
    </row>
    <row r="53" spans="1:41" ht="24" customHeight="1" x14ac:dyDescent="0.2">
      <c r="A53" s="24" t="s">
        <v>58</v>
      </c>
      <c r="B53" s="25"/>
      <c r="C53" s="3"/>
      <c r="D53" s="3"/>
      <c r="E53" s="3"/>
      <c r="F53" s="3"/>
      <c r="G53" s="3"/>
      <c r="H53" s="3">
        <v>0</v>
      </c>
      <c r="I53" s="3"/>
      <c r="J53" s="3"/>
      <c r="K53" s="3">
        <v>282497.84000000003</v>
      </c>
      <c r="L53" s="3"/>
      <c r="M53" s="3"/>
      <c r="N53" s="3">
        <v>205128.9</v>
      </c>
      <c r="O53" s="3"/>
      <c r="P53" s="3"/>
      <c r="Q53" s="3">
        <v>258327.98</v>
      </c>
      <c r="R53" s="3"/>
      <c r="S53" s="3"/>
      <c r="T53" s="3">
        <v>390945.52</v>
      </c>
      <c r="U53" s="3"/>
      <c r="V53" s="3"/>
      <c r="W53" s="3">
        <v>500790.02</v>
      </c>
      <c r="X53" s="3"/>
      <c r="Y53" s="3"/>
      <c r="Z53" s="3">
        <v>267834.3</v>
      </c>
      <c r="AA53" s="3"/>
      <c r="AB53" s="3"/>
      <c r="AC53" s="3">
        <v>241597.33</v>
      </c>
      <c r="AD53" s="3"/>
      <c r="AE53" s="3"/>
      <c r="AF53" s="3">
        <v>180305.42</v>
      </c>
      <c r="AG53" s="3"/>
      <c r="AH53" s="3"/>
      <c r="AI53" s="3">
        <v>188581.8</v>
      </c>
      <c r="AJ53" s="9">
        <f t="shared" si="1"/>
        <v>0</v>
      </c>
    </row>
    <row r="54" spans="1:41" ht="24" customHeight="1" x14ac:dyDescent="0.2">
      <c r="A54" s="24" t="s">
        <v>59</v>
      </c>
      <c r="B54" s="25"/>
      <c r="C54" s="3"/>
      <c r="D54" s="3"/>
      <c r="E54" s="3">
        <f>E42+E51+E52+E53</f>
        <v>11468004.054199997</v>
      </c>
      <c r="F54" s="3"/>
      <c r="G54" s="3"/>
      <c r="H54" s="3">
        <f>H42+H51+H52+H53</f>
        <v>19541727.460000001</v>
      </c>
      <c r="I54" s="3"/>
      <c r="J54" s="3"/>
      <c r="K54" s="3">
        <f>K42+K51+K52+K53</f>
        <v>14887135.449999999</v>
      </c>
      <c r="L54" s="3"/>
      <c r="M54" s="3"/>
      <c r="N54" s="3">
        <f>N42+N51+N52+N53</f>
        <v>17094877.969999999</v>
      </c>
      <c r="O54" s="3"/>
      <c r="P54" s="3"/>
      <c r="Q54" s="3">
        <f>Q42+Q51+Q52+Q53</f>
        <v>19640935.120000005</v>
      </c>
      <c r="R54" s="3"/>
      <c r="S54" s="3"/>
      <c r="T54" s="3">
        <f>T42+T51+T52+T53</f>
        <v>17235330.870000001</v>
      </c>
      <c r="U54" s="3"/>
      <c r="V54" s="3"/>
      <c r="W54" s="3">
        <f>W42+W51+W52+W53</f>
        <v>14519190.989999998</v>
      </c>
      <c r="X54" s="3"/>
      <c r="Y54" s="3"/>
      <c r="Z54" s="3">
        <f>Z42+Z51+Z52+Z53</f>
        <v>15709044.130000001</v>
      </c>
      <c r="AA54" s="3"/>
      <c r="AB54" s="3"/>
      <c r="AC54" s="3">
        <f>AC42+AC51+AC52+AC53</f>
        <v>12355542.790000001</v>
      </c>
      <c r="AD54" s="3"/>
      <c r="AE54" s="3"/>
      <c r="AF54" s="3">
        <f>AF42+AF51+AF52+AF53</f>
        <v>14789046.16</v>
      </c>
      <c r="AG54" s="3"/>
      <c r="AH54" s="3"/>
      <c r="AI54" s="3">
        <f>AI42+AI51+AI52+AI53</f>
        <v>14464985.160000002</v>
      </c>
      <c r="AJ54" s="9">
        <f t="shared" si="1"/>
        <v>0</v>
      </c>
    </row>
    <row r="55" spans="1:41" ht="24" hidden="1" customHeight="1" x14ac:dyDescent="0.2">
      <c r="A55" s="27" t="s">
        <v>60</v>
      </c>
      <c r="B55" s="1" t="s">
        <v>61</v>
      </c>
      <c r="C55" s="3"/>
      <c r="D55" s="3"/>
      <c r="E55" s="3">
        <v>0</v>
      </c>
      <c r="F55" s="3"/>
      <c r="G55" s="3"/>
      <c r="H55" s="3">
        <v>0</v>
      </c>
      <c r="I55" s="3"/>
      <c r="J55" s="3"/>
      <c r="K55" s="3">
        <v>0</v>
      </c>
      <c r="L55" s="3"/>
      <c r="M55" s="3"/>
      <c r="N55" s="3">
        <v>0</v>
      </c>
      <c r="O55" s="3"/>
      <c r="P55" s="3"/>
      <c r="Q55" s="3">
        <v>0</v>
      </c>
      <c r="R55" s="3"/>
      <c r="S55" s="3"/>
      <c r="T55" s="3">
        <v>0</v>
      </c>
      <c r="U55" s="3"/>
      <c r="V55" s="3"/>
      <c r="W55" s="3">
        <v>0</v>
      </c>
      <c r="X55" s="3"/>
      <c r="Y55" s="3"/>
      <c r="Z55" s="3">
        <v>0</v>
      </c>
      <c r="AA55" s="3"/>
      <c r="AB55" s="3"/>
      <c r="AC55" s="3">
        <v>0</v>
      </c>
      <c r="AD55" s="3"/>
      <c r="AE55" s="3"/>
      <c r="AF55" s="3">
        <v>0</v>
      </c>
      <c r="AG55" s="3"/>
      <c r="AH55" s="3"/>
      <c r="AI55" s="3">
        <v>-232047.84</v>
      </c>
    </row>
    <row r="56" spans="1:41" ht="24" hidden="1" customHeight="1" x14ac:dyDescent="0.2">
      <c r="A56" s="28"/>
      <c r="B56" s="1" t="s">
        <v>62</v>
      </c>
      <c r="C56" s="3"/>
      <c r="D56" s="3"/>
      <c r="E56" s="3">
        <v>0</v>
      </c>
      <c r="F56" s="3"/>
      <c r="G56" s="3"/>
      <c r="H56" s="3">
        <v>0</v>
      </c>
      <c r="I56" s="3"/>
      <c r="J56" s="3"/>
      <c r="K56" s="3">
        <v>0</v>
      </c>
      <c r="L56" s="3"/>
      <c r="M56" s="3"/>
      <c r="N56" s="3">
        <v>0</v>
      </c>
      <c r="O56" s="3"/>
      <c r="P56" s="3"/>
      <c r="Q56" s="3">
        <v>0</v>
      </c>
      <c r="R56" s="3"/>
      <c r="S56" s="3"/>
      <c r="T56" s="3">
        <v>0</v>
      </c>
      <c r="U56" s="3"/>
      <c r="V56" s="3"/>
      <c r="W56" s="3">
        <v>0</v>
      </c>
      <c r="X56" s="3"/>
      <c r="Y56" s="3"/>
      <c r="Z56" s="3">
        <v>0</v>
      </c>
      <c r="AA56" s="3"/>
      <c r="AB56" s="3"/>
      <c r="AC56" s="3">
        <v>0</v>
      </c>
      <c r="AD56" s="3"/>
      <c r="AE56" s="3"/>
      <c r="AF56" s="3">
        <v>0</v>
      </c>
      <c r="AG56" s="3"/>
      <c r="AH56" s="3"/>
      <c r="AI56" s="3">
        <v>0</v>
      </c>
    </row>
    <row r="57" spans="1:41" ht="24" hidden="1" customHeight="1" x14ac:dyDescent="0.2">
      <c r="A57" s="28"/>
      <c r="B57" s="1" t="s">
        <v>63</v>
      </c>
      <c r="C57" s="3"/>
      <c r="D57" s="3"/>
      <c r="E57" s="3">
        <v>0</v>
      </c>
      <c r="F57" s="3"/>
      <c r="G57" s="3"/>
      <c r="H57" s="3">
        <v>0</v>
      </c>
      <c r="I57" s="3"/>
      <c r="J57" s="3"/>
      <c r="K57" s="3">
        <v>0</v>
      </c>
      <c r="L57" s="3"/>
      <c r="M57" s="3"/>
      <c r="N57" s="3">
        <v>0</v>
      </c>
      <c r="O57" s="3"/>
      <c r="P57" s="3"/>
      <c r="Q57" s="3">
        <v>0</v>
      </c>
      <c r="R57" s="3"/>
      <c r="S57" s="3"/>
      <c r="T57" s="3">
        <v>0</v>
      </c>
      <c r="U57" s="3"/>
      <c r="V57" s="3"/>
      <c r="W57" s="3">
        <v>0</v>
      </c>
      <c r="X57" s="3"/>
      <c r="Y57" s="3"/>
      <c r="Z57" s="3">
        <v>0</v>
      </c>
      <c r="AA57" s="3"/>
      <c r="AB57" s="3"/>
      <c r="AC57" s="3">
        <v>0</v>
      </c>
      <c r="AD57" s="3"/>
      <c r="AE57" s="3"/>
      <c r="AF57" s="3">
        <v>0</v>
      </c>
      <c r="AG57" s="3"/>
      <c r="AH57" s="3"/>
      <c r="AI57" s="3">
        <v>0</v>
      </c>
    </row>
    <row r="58" spans="1:41" ht="24" hidden="1" customHeight="1" x14ac:dyDescent="0.2">
      <c r="A58" s="28"/>
      <c r="B58" s="1" t="s">
        <v>64</v>
      </c>
      <c r="C58" s="3"/>
      <c r="D58" s="3"/>
      <c r="E58" s="3">
        <v>0</v>
      </c>
      <c r="F58" s="3"/>
      <c r="G58" s="3"/>
      <c r="H58" s="3">
        <v>0</v>
      </c>
      <c r="I58" s="3"/>
      <c r="J58" s="3"/>
      <c r="K58" s="3">
        <v>0</v>
      </c>
      <c r="L58" s="3"/>
      <c r="M58" s="3"/>
      <c r="N58" s="3">
        <v>0</v>
      </c>
      <c r="O58" s="3"/>
      <c r="P58" s="3"/>
      <c r="Q58" s="3">
        <v>0</v>
      </c>
      <c r="R58" s="3"/>
      <c r="S58" s="3"/>
      <c r="T58" s="3">
        <v>0</v>
      </c>
      <c r="U58" s="3"/>
      <c r="V58" s="3"/>
      <c r="W58" s="3">
        <v>0</v>
      </c>
      <c r="X58" s="3"/>
      <c r="Y58" s="3"/>
      <c r="Z58" s="3">
        <v>0</v>
      </c>
      <c r="AA58" s="3"/>
      <c r="AB58" s="3"/>
      <c r="AC58" s="3">
        <v>0</v>
      </c>
      <c r="AD58" s="3"/>
      <c r="AE58" s="3"/>
      <c r="AF58" s="3">
        <v>0</v>
      </c>
      <c r="AG58" s="3"/>
      <c r="AH58" s="3"/>
      <c r="AI58" s="3">
        <v>0</v>
      </c>
    </row>
    <row r="59" spans="1:41" ht="24" hidden="1" customHeight="1" x14ac:dyDescent="0.2">
      <c r="A59" s="28"/>
      <c r="B59" s="1" t="s">
        <v>65</v>
      </c>
      <c r="C59" s="3"/>
      <c r="D59" s="3"/>
      <c r="E59" s="3">
        <v>-233142.6</v>
      </c>
      <c r="F59" s="3"/>
      <c r="G59" s="3"/>
      <c r="H59" s="3">
        <v>-233142.6</v>
      </c>
      <c r="I59" s="3"/>
      <c r="J59" s="3"/>
      <c r="K59" s="3">
        <v>-156649.5</v>
      </c>
      <c r="L59" s="3"/>
      <c r="M59" s="3"/>
      <c r="N59" s="3">
        <v>-186606.1</v>
      </c>
      <c r="O59" s="3"/>
      <c r="P59" s="3"/>
      <c r="Q59" s="3">
        <v>-197086.1</v>
      </c>
      <c r="R59" s="3"/>
      <c r="S59" s="3"/>
      <c r="T59" s="3">
        <v>-149169.20000000001</v>
      </c>
      <c r="U59" s="3"/>
      <c r="V59" s="3"/>
      <c r="W59" s="3">
        <v>-160394.5</v>
      </c>
      <c r="X59" s="3"/>
      <c r="Y59" s="3"/>
      <c r="Z59" s="3">
        <v>-179128.9</v>
      </c>
      <c r="AA59" s="3"/>
      <c r="AB59" s="3"/>
      <c r="AC59" s="3">
        <v>-150110.6</v>
      </c>
      <c r="AD59" s="3"/>
      <c r="AE59" s="3"/>
      <c r="AF59" s="3">
        <v>-162957.1</v>
      </c>
      <c r="AG59" s="3"/>
      <c r="AH59" s="3"/>
      <c r="AI59" s="3">
        <v>-165163.5</v>
      </c>
    </row>
    <row r="60" spans="1:41" ht="24" hidden="1" customHeight="1" x14ac:dyDescent="0.2">
      <c r="A60" s="28"/>
      <c r="B60" s="1" t="s">
        <v>66</v>
      </c>
      <c r="C60" s="3"/>
      <c r="D60" s="3"/>
      <c r="E60" s="3">
        <v>0</v>
      </c>
      <c r="F60" s="3"/>
      <c r="G60" s="3"/>
      <c r="H60" s="3">
        <v>0</v>
      </c>
      <c r="I60" s="3"/>
      <c r="J60" s="3"/>
      <c r="K60" s="3">
        <v>0</v>
      </c>
      <c r="L60" s="3"/>
      <c r="M60" s="3"/>
      <c r="N60" s="3">
        <v>0</v>
      </c>
      <c r="O60" s="3"/>
      <c r="P60" s="3"/>
      <c r="Q60" s="3">
        <v>0</v>
      </c>
      <c r="R60" s="3"/>
      <c r="S60" s="3"/>
      <c r="T60" s="3">
        <v>0</v>
      </c>
      <c r="U60" s="3"/>
      <c r="V60" s="3"/>
      <c r="W60" s="3">
        <v>0</v>
      </c>
      <c r="X60" s="3"/>
      <c r="Y60" s="3"/>
      <c r="Z60" s="3">
        <v>0</v>
      </c>
      <c r="AA60" s="3"/>
      <c r="AB60" s="3"/>
      <c r="AC60" s="3">
        <v>0</v>
      </c>
      <c r="AD60" s="3"/>
      <c r="AE60" s="3"/>
      <c r="AF60" s="3">
        <v>0</v>
      </c>
      <c r="AG60" s="3"/>
      <c r="AH60" s="3"/>
      <c r="AI60" s="3">
        <v>0</v>
      </c>
    </row>
    <row r="61" spans="1:41" ht="24" hidden="1" customHeight="1" x14ac:dyDescent="0.2">
      <c r="A61" s="29"/>
      <c r="B61" s="1" t="s">
        <v>67</v>
      </c>
      <c r="C61" s="3"/>
      <c r="D61" s="3"/>
      <c r="E61" s="3">
        <v>-1930858.49</v>
      </c>
      <c r="F61" s="3"/>
      <c r="G61" s="3"/>
      <c r="H61" s="3">
        <v>-1930858.49</v>
      </c>
      <c r="I61" s="3"/>
      <c r="J61" s="3"/>
      <c r="K61" s="3">
        <v>-1473048.6</v>
      </c>
      <c r="L61" s="3"/>
      <c r="M61" s="3"/>
      <c r="N61" s="3">
        <v>-1690827.19</v>
      </c>
      <c r="O61" s="3"/>
      <c r="P61" s="3"/>
      <c r="Q61" s="3">
        <v>-1944384.9</v>
      </c>
      <c r="R61" s="3"/>
      <c r="S61" s="3"/>
      <c r="T61" s="3">
        <v>-1708616.17</v>
      </c>
      <c r="U61" s="3"/>
      <c r="V61" s="3"/>
      <c r="W61" s="3">
        <v>-1435879.65</v>
      </c>
      <c r="X61" s="3"/>
      <c r="Y61" s="3"/>
      <c r="Z61" s="3">
        <v>-1552991.52</v>
      </c>
      <c r="AA61" s="3"/>
      <c r="AB61" s="3"/>
      <c r="AC61" s="3">
        <v>-1220543.22</v>
      </c>
      <c r="AD61" s="3"/>
      <c r="AE61" s="3"/>
      <c r="AF61" s="3">
        <v>-1541967.22</v>
      </c>
      <c r="AG61" s="3"/>
      <c r="AH61" s="3"/>
      <c r="AI61" s="3">
        <v>-1406777.38</v>
      </c>
    </row>
    <row r="62" spans="1:41" hidden="1" x14ac:dyDescent="0.2"/>
    <row r="67" spans="9:18" x14ac:dyDescent="0.2">
      <c r="I67">
        <f>I44+I49</f>
        <v>502052.35</v>
      </c>
      <c r="J67">
        <f>I44+I49</f>
        <v>502052.35</v>
      </c>
      <c r="K67">
        <f>L44+L47+L49</f>
        <v>326121.59999999998</v>
      </c>
      <c r="R67">
        <f>R44+R47+R49</f>
        <v>400418.3</v>
      </c>
    </row>
    <row r="68" spans="9:18" x14ac:dyDescent="0.2">
      <c r="I68">
        <f>L44+L48</f>
        <v>272791.5</v>
      </c>
      <c r="J68">
        <v>494860.65</v>
      </c>
    </row>
    <row r="69" spans="9:18" x14ac:dyDescent="0.2">
      <c r="J69">
        <f>J67-J68</f>
        <v>7191.6999999999534</v>
      </c>
    </row>
  </sheetData>
  <mergeCells count="48">
    <mergeCell ref="R37:T37"/>
    <mergeCell ref="X37:Z37"/>
    <mergeCell ref="O4:Q4"/>
    <mergeCell ref="I37:K37"/>
    <mergeCell ref="A55:A61"/>
    <mergeCell ref="U37:W37"/>
    <mergeCell ref="L4:N4"/>
    <mergeCell ref="X38:Z38"/>
    <mergeCell ref="U38:W38"/>
    <mergeCell ref="O38:Q38"/>
    <mergeCell ref="A54:B54"/>
    <mergeCell ref="A40:A42"/>
    <mergeCell ref="C38:E38"/>
    <mergeCell ref="I38:K38"/>
    <mergeCell ref="A43:A51"/>
    <mergeCell ref="A53:B53"/>
    <mergeCell ref="AG37:AI37"/>
    <mergeCell ref="I4:K4"/>
    <mergeCell ref="A18:B18"/>
    <mergeCell ref="F37:H37"/>
    <mergeCell ref="A3:B5"/>
    <mergeCell ref="A9:A17"/>
    <mergeCell ref="AD37:AF37"/>
    <mergeCell ref="C37:E37"/>
    <mergeCell ref="A37:B39"/>
    <mergeCell ref="O37:Q37"/>
    <mergeCell ref="C3:E3"/>
    <mergeCell ref="F4:H4"/>
    <mergeCell ref="A6:A8"/>
    <mergeCell ref="AA38:AC38"/>
    <mergeCell ref="AG38:AI38"/>
    <mergeCell ref="I3:K3"/>
    <mergeCell ref="O3:Q3"/>
    <mergeCell ref="R38:T38"/>
    <mergeCell ref="A20:B20"/>
    <mergeCell ref="A52:B52"/>
    <mergeCell ref="AD38:AF38"/>
    <mergeCell ref="A19:B19"/>
    <mergeCell ref="R4:T4"/>
    <mergeCell ref="L37:N37"/>
    <mergeCell ref="C4:E4"/>
    <mergeCell ref="F3:H3"/>
    <mergeCell ref="L3:N3"/>
    <mergeCell ref="AA37:AC37"/>
    <mergeCell ref="R3:T3"/>
    <mergeCell ref="A21:A27"/>
    <mergeCell ref="F38:H38"/>
    <mergeCell ref="L38:N3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A798-C949-4D36-B26B-FC2D1A4F5C53}">
  <dimension ref="A4:O40"/>
  <sheetViews>
    <sheetView tabSelected="1" workbookViewId="0">
      <selection activeCell="O22" sqref="O22"/>
    </sheetView>
  </sheetViews>
  <sheetFormatPr defaultRowHeight="14.25" x14ac:dyDescent="0.2"/>
  <cols>
    <col min="1" max="2" width="12.75" customWidth="1"/>
    <col min="3" max="3" width="14.625" customWidth="1"/>
    <col min="4" max="4" width="17.25" customWidth="1"/>
    <col min="5" max="5" width="17" customWidth="1"/>
    <col min="6" max="6" width="15.75" customWidth="1"/>
    <col min="7" max="7" width="14.5" customWidth="1"/>
    <col min="8" max="8" width="14.125" customWidth="1"/>
    <col min="9" max="9" width="13.75" customWidth="1"/>
    <col min="10" max="10" width="13.875" customWidth="1"/>
    <col min="11" max="11" width="13.5" customWidth="1"/>
    <col min="12" max="12" width="13.375" customWidth="1"/>
    <col min="13" max="13" width="13.75" customWidth="1"/>
    <col min="14" max="14" width="11.875" customWidth="1"/>
    <col min="15" max="15" width="12.875" customWidth="1"/>
  </cols>
  <sheetData>
    <row r="4" spans="1:15" ht="31.5" customHeight="1" x14ac:dyDescent="0.25">
      <c r="A4" s="43" t="s">
        <v>0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15" ht="24" customHeight="1" x14ac:dyDescent="0.2">
      <c r="A5" s="24" t="s">
        <v>1</v>
      </c>
      <c r="B5" s="25"/>
      <c r="C5" s="1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  <row r="6" spans="1:15" ht="24" customHeight="1" x14ac:dyDescent="0.2">
      <c r="A6" s="27" t="s">
        <v>15</v>
      </c>
      <c r="B6" s="1" t="s">
        <v>16</v>
      </c>
      <c r="C6" s="2">
        <v>5</v>
      </c>
      <c r="D6" s="1">
        <f>'基础资料-结算资料'!C15</f>
        <v>174272.96</v>
      </c>
      <c r="E6" s="1">
        <f>'基础资料-结算资料'!F15</f>
        <v>358266.05</v>
      </c>
      <c r="F6" s="1">
        <f>'基础资料-结算资料'!I15</f>
        <v>86628.02</v>
      </c>
      <c r="G6" s="1">
        <f>'基础资料-结算资料'!L15</f>
        <v>2276.6</v>
      </c>
      <c r="H6" s="1">
        <f>'基础资料-结算资料'!O15</f>
        <v>0</v>
      </c>
      <c r="I6" s="1">
        <f>'基础资料-结算资料'!R15</f>
        <v>5835.1</v>
      </c>
      <c r="J6" s="1"/>
      <c r="K6" s="1"/>
      <c r="L6" s="1"/>
      <c r="M6" s="1"/>
      <c r="N6" s="1">
        <f>SUM(D6:M6)</f>
        <v>627278.73</v>
      </c>
      <c r="O6" s="18">
        <f>N6/N$9</f>
        <v>0.25491107842953309</v>
      </c>
    </row>
    <row r="7" spans="1:15" ht="24" customHeight="1" x14ac:dyDescent="0.2">
      <c r="A7" s="28"/>
      <c r="B7" s="1" t="s">
        <v>17</v>
      </c>
      <c r="C7" s="2">
        <v>7.96</v>
      </c>
      <c r="D7" s="1">
        <f>'基础资料-结算资料'!C10</f>
        <v>217005.54</v>
      </c>
      <c r="E7" s="1">
        <f>'基础资料-结算资料'!F10</f>
        <v>112348.5</v>
      </c>
      <c r="F7" s="1">
        <f>'基础资料-结算资料'!I10</f>
        <v>572343.61</v>
      </c>
      <c r="G7" s="1">
        <f>'基础资料-结算资料'!L10</f>
        <v>343040.8</v>
      </c>
      <c r="H7" s="1">
        <f>'基础资料-结算资料'!O10</f>
        <v>26172.15</v>
      </c>
      <c r="I7" s="1">
        <f>'基础资料-结算资料'!R10</f>
        <v>103959.45</v>
      </c>
      <c r="J7" s="1"/>
      <c r="K7" s="1"/>
      <c r="L7" s="1"/>
      <c r="M7" s="1"/>
      <c r="N7" s="1">
        <f>SUM(D7:M7)</f>
        <v>1374870.0499999998</v>
      </c>
      <c r="O7" s="17">
        <f t="shared" ref="O7:O8" si="0">N7/N$9</f>
        <v>0.55871431691293927</v>
      </c>
    </row>
    <row r="8" spans="1:15" ht="24" customHeight="1" x14ac:dyDescent="0.2">
      <c r="A8" s="28"/>
      <c r="B8" s="1" t="s">
        <v>18</v>
      </c>
      <c r="C8" s="2">
        <v>11.95</v>
      </c>
      <c r="D8" s="1">
        <f>'基础资料-结算资料'!C13</f>
        <v>224989.5</v>
      </c>
      <c r="E8" s="1">
        <f>'基础资料-结算资料'!F13</f>
        <v>41946.28</v>
      </c>
      <c r="F8" s="1">
        <f>'基础资料-结算资料'!I13</f>
        <v>177540.73</v>
      </c>
      <c r="G8" s="1">
        <f>'基础资料-结算资料'!L13</f>
        <v>6052.3</v>
      </c>
      <c r="H8" s="1">
        <f>'基础资料-结算资料'!O13</f>
        <v>5899.95</v>
      </c>
      <c r="I8" s="1">
        <f>'基础资料-结算资料'!R13</f>
        <v>2197.15</v>
      </c>
      <c r="J8" s="1"/>
      <c r="K8" s="1"/>
      <c r="L8" s="1"/>
      <c r="M8" s="1"/>
      <c r="N8" s="1">
        <f>SUM(D8:M8)</f>
        <v>458625.91000000003</v>
      </c>
      <c r="O8" s="17">
        <f t="shared" si="0"/>
        <v>0.18637460465752761</v>
      </c>
    </row>
    <row r="9" spans="1:15" ht="24" customHeight="1" x14ac:dyDescent="0.2">
      <c r="A9" s="28"/>
      <c r="B9" s="24" t="s">
        <v>13</v>
      </c>
      <c r="C9" s="25"/>
      <c r="D9" s="1">
        <f t="shared" ref="D9:I9" si="1">SUM(D6:D8)</f>
        <v>616268</v>
      </c>
      <c r="E9" s="1">
        <f t="shared" si="1"/>
        <v>512560.82999999996</v>
      </c>
      <c r="F9" s="1">
        <f t="shared" si="1"/>
        <v>836512.36</v>
      </c>
      <c r="G9" s="1">
        <f t="shared" si="1"/>
        <v>351369.69999999995</v>
      </c>
      <c r="H9" s="1">
        <f t="shared" si="1"/>
        <v>32072.100000000002</v>
      </c>
      <c r="I9" s="1">
        <f t="shared" si="1"/>
        <v>111991.7</v>
      </c>
      <c r="J9" s="1"/>
      <c r="K9" s="1"/>
      <c r="L9" s="1"/>
      <c r="M9" s="1"/>
      <c r="N9" s="1">
        <f>SUM(D9:M9)</f>
        <v>2460774.69</v>
      </c>
      <c r="O9" s="2" t="s">
        <v>19</v>
      </c>
    </row>
    <row r="10" spans="1:15" ht="24" customHeight="1" x14ac:dyDescent="0.2">
      <c r="A10" s="29"/>
      <c r="B10" s="24" t="s">
        <v>20</v>
      </c>
      <c r="C10" s="25"/>
      <c r="D10" s="16">
        <f>(D6*C6+D7*C7+D8*C8)/D9</f>
        <v>8.5796332494953482</v>
      </c>
      <c r="E10" s="16">
        <f>(E6*C6+E7*C7+E8*C8)/E9</f>
        <v>6.2175690561450052</v>
      </c>
      <c r="F10" s="16">
        <f>(F6*C6+F7*C7+F8*C8)/F9</f>
        <v>8.5003011301590323</v>
      </c>
      <c r="G10" s="16">
        <f>(G6*C6+G7*C7+G8*C8)/G9</f>
        <v>8.0095487829485581</v>
      </c>
      <c r="H10" s="16">
        <f>(H6*C6+H7*C7+H8*C8)/H9</f>
        <v>8.6939962303684499</v>
      </c>
      <c r="I10" s="16">
        <f>(I6*C6+I7*C7+I8*C8)/I9</f>
        <v>7.8840544835019024</v>
      </c>
      <c r="J10" s="1"/>
      <c r="K10" s="1"/>
      <c r="L10" s="1"/>
      <c r="M10" s="1"/>
      <c r="N10" s="16">
        <f>(N6*C6+N7*C7+N8*C8)/N9</f>
        <v>7.9490978804321166</v>
      </c>
      <c r="O10" s="2" t="s">
        <v>19</v>
      </c>
    </row>
    <row r="11" spans="1:15" ht="24" customHeight="1" x14ac:dyDescent="0.2">
      <c r="A11" s="27" t="s">
        <v>21</v>
      </c>
      <c r="B11" s="1" t="s">
        <v>17</v>
      </c>
      <c r="C11" s="1">
        <f>'基础资料-结算资料'!D11</f>
        <v>6.76</v>
      </c>
      <c r="D11" s="1">
        <f>'基础资料-结算资料'!C11</f>
        <v>1815869.14</v>
      </c>
      <c r="E11" s="1">
        <f>'基础资料-结算资料'!F11</f>
        <v>1878791.61</v>
      </c>
      <c r="F11" s="1">
        <f>'基础资料-结算资料'!I11</f>
        <v>2969474.67</v>
      </c>
      <c r="G11" s="1">
        <f>'基础资料-结算资料'!L11</f>
        <v>1657446.55</v>
      </c>
      <c r="H11" s="1">
        <f>'基础资料-结算资料'!O11</f>
        <v>698341.17</v>
      </c>
      <c r="I11" s="1">
        <f>'基础资料-结算资料'!R11</f>
        <v>948122.2</v>
      </c>
      <c r="J11" s="1"/>
      <c r="K11" s="1"/>
      <c r="L11" s="1"/>
      <c r="M11" s="1"/>
      <c r="N11" s="1">
        <f>SUM(D11:M11)</f>
        <v>9968045.3399999999</v>
      </c>
      <c r="O11" s="18">
        <f>N11/N$13</f>
        <v>0.9542960135568237</v>
      </c>
    </row>
    <row r="12" spans="1:15" ht="24" customHeight="1" x14ac:dyDescent="0.2">
      <c r="A12" s="28"/>
      <c r="B12" s="1" t="s">
        <v>18</v>
      </c>
      <c r="C12" s="1">
        <f>'基础资料-结算资料'!D14</f>
        <v>10.94</v>
      </c>
      <c r="D12" s="1">
        <f>'基础资料-结算资料'!C14</f>
        <v>42909.599999999999</v>
      </c>
      <c r="E12" s="1">
        <f>'基础资料-结算资料'!F14</f>
        <v>38710.6</v>
      </c>
      <c r="F12" s="1">
        <f>'基础资料-结算资料'!I14</f>
        <v>132734.95000000001</v>
      </c>
      <c r="G12" s="1">
        <f>'基础资料-结算资料'!L14</f>
        <v>126701.22</v>
      </c>
      <c r="H12" s="1">
        <f>'基础资料-结算资料'!O14</f>
        <v>62937</v>
      </c>
      <c r="I12" s="1">
        <f>'基础资料-结算资料'!R14</f>
        <v>73405.05</v>
      </c>
      <c r="J12" s="1"/>
      <c r="K12" s="1"/>
      <c r="L12" s="1"/>
      <c r="M12" s="1"/>
      <c r="N12" s="1">
        <f>SUM(D12:M12)</f>
        <v>477398.42</v>
      </c>
      <c r="O12" s="18">
        <f>N12/N$13</f>
        <v>4.5703986443176255E-2</v>
      </c>
    </row>
    <row r="13" spans="1:15" ht="24" customHeight="1" x14ac:dyDescent="0.2">
      <c r="A13" s="28"/>
      <c r="B13" s="24" t="s">
        <v>13</v>
      </c>
      <c r="C13" s="25"/>
      <c r="D13" s="1">
        <f t="shared" ref="D13:I13" si="2">SUM(D11:D12)</f>
        <v>1858778.74</v>
      </c>
      <c r="E13" s="1">
        <f t="shared" si="2"/>
        <v>1917502.2100000002</v>
      </c>
      <c r="F13" s="1">
        <f t="shared" si="2"/>
        <v>3102209.62</v>
      </c>
      <c r="G13" s="1">
        <f t="shared" si="2"/>
        <v>1784147.77</v>
      </c>
      <c r="H13" s="1">
        <f t="shared" si="2"/>
        <v>761278.17</v>
      </c>
      <c r="I13" s="1">
        <f t="shared" si="2"/>
        <v>1021527.25</v>
      </c>
      <c r="J13" s="1"/>
      <c r="K13" s="1"/>
      <c r="L13" s="1"/>
      <c r="M13" s="1"/>
      <c r="N13" s="1">
        <f>SUM(D13:M13)</f>
        <v>10445443.76</v>
      </c>
      <c r="O13" s="1"/>
    </row>
    <row r="14" spans="1:15" ht="24" customHeight="1" x14ac:dyDescent="0.2">
      <c r="A14" s="29"/>
      <c r="B14" s="24" t="s">
        <v>20</v>
      </c>
      <c r="C14" s="25"/>
      <c r="D14" s="16">
        <f>(D11*C11+C12*D12)/D13</f>
        <v>6.8564946091432049</v>
      </c>
      <c r="E14" s="16">
        <f>(E11*C11+E12*C12)/E13</f>
        <v>6.844385982532974</v>
      </c>
      <c r="F14" s="16">
        <f>(F11*C11+F12*C12)/F13</f>
        <v>6.9388506126159184</v>
      </c>
      <c r="G14" s="16">
        <f>(G11*C11+G12*C12)/G13</f>
        <v>7.0568426206087169</v>
      </c>
      <c r="H14" s="16">
        <f>(H11*C11+H12*C12)/H13</f>
        <v>7.1055723155702735</v>
      </c>
      <c r="I14" s="16">
        <f>(I11*C11+I12*C12)/I13</f>
        <v>7.0603670327933008</v>
      </c>
      <c r="J14" s="1"/>
      <c r="K14" s="1"/>
      <c r="L14" s="1"/>
      <c r="M14" s="1"/>
      <c r="N14" s="16">
        <f>(N11*C11+N12*C12)/N13</f>
        <v>6.9510426633324771</v>
      </c>
      <c r="O14" s="1"/>
    </row>
    <row r="17" spans="1:15" ht="31.5" customHeight="1" x14ac:dyDescent="0.25">
      <c r="A17" s="43" t="s">
        <v>22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</row>
    <row r="18" spans="1:15" ht="24" customHeight="1" x14ac:dyDescent="0.2">
      <c r="A18" s="24" t="s">
        <v>1</v>
      </c>
      <c r="B18" s="25"/>
      <c r="C18" s="1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  <c r="O18" s="2" t="s">
        <v>14</v>
      </c>
    </row>
    <row r="19" spans="1:15" ht="24" customHeight="1" x14ac:dyDescent="0.2">
      <c r="A19" s="27" t="s">
        <v>15</v>
      </c>
      <c r="B19" s="1" t="s">
        <v>16</v>
      </c>
      <c r="C19" s="2">
        <v>5</v>
      </c>
      <c r="D19" s="1">
        <f>'基础资料-结算资料'!C49</f>
        <v>135607.01999999999</v>
      </c>
      <c r="E19" s="1">
        <f>'基础资料-结算资料'!F49</f>
        <v>77168.92</v>
      </c>
      <c r="F19" s="1">
        <f>'基础资料-结算资料'!I49+'基础资料-结算资料'!L49</f>
        <v>187548.25</v>
      </c>
      <c r="G19" s="1">
        <f>'基础资料-结算资料'!O49</f>
        <v>89778.7</v>
      </c>
      <c r="H19" s="1">
        <f>'基础资料-结算资料'!R49</f>
        <v>132000.95000000001</v>
      </c>
      <c r="I19" s="1">
        <f>'基础资料-结算资料'!U49</f>
        <v>0</v>
      </c>
      <c r="J19" s="1">
        <f>'基础资料-结算资料'!X49</f>
        <v>0</v>
      </c>
      <c r="K19" s="1">
        <f>'基础资料-结算资料'!AA49</f>
        <v>0</v>
      </c>
      <c r="L19" s="1">
        <f>'基础资料-结算资料'!AD49</f>
        <v>0</v>
      </c>
      <c r="M19" s="1">
        <f>'基础资料-结算资料'!AG49</f>
        <v>0</v>
      </c>
      <c r="N19" s="1">
        <f>SUM(D19:M19)</f>
        <v>622103.84000000008</v>
      </c>
      <c r="O19" s="18">
        <f>N19/N$22</f>
        <v>0.23724219205337455</v>
      </c>
    </row>
    <row r="20" spans="1:15" ht="24" customHeight="1" x14ac:dyDescent="0.2">
      <c r="A20" s="28"/>
      <c r="B20" s="1" t="s">
        <v>17</v>
      </c>
      <c r="C20" s="2">
        <v>7.96</v>
      </c>
      <c r="D20" s="1">
        <f>'基础资料-结算资料'!C44</f>
        <v>171048.87</v>
      </c>
      <c r="E20" s="1">
        <f>'基础资料-结算资料'!F44</f>
        <v>594680.78</v>
      </c>
      <c r="F20" s="1">
        <f>'基础资料-结算资料'!I44+'基础资料-结算资料'!L44</f>
        <v>640625.69999999995</v>
      </c>
      <c r="G20" s="1">
        <f>'基础资料-结算资料'!O44</f>
        <v>313651.20000000001</v>
      </c>
      <c r="H20" s="1">
        <f>'基础资料-结算资料'!R44</f>
        <v>254457.5</v>
      </c>
      <c r="I20" s="1">
        <f>'基础资料-结算资料'!U44</f>
        <v>0</v>
      </c>
      <c r="J20" s="1">
        <f>'基础资料-结算资料'!X44</f>
        <v>0</v>
      </c>
      <c r="K20" s="1">
        <f>'基础资料-结算资料'!AA44</f>
        <v>0</v>
      </c>
      <c r="L20" s="1">
        <f>'基础资料-结算资料'!AD44</f>
        <v>0</v>
      </c>
      <c r="M20" s="1">
        <f>'基础资料-结算资料'!AG44</f>
        <v>0</v>
      </c>
      <c r="N20" s="1">
        <f>SUM(D20:M20)</f>
        <v>1974464.05</v>
      </c>
      <c r="O20" s="17">
        <f>N20/N$22</f>
        <v>0.75297104636515932</v>
      </c>
    </row>
    <row r="21" spans="1:15" ht="24" customHeight="1" x14ac:dyDescent="0.2">
      <c r="A21" s="28"/>
      <c r="B21" s="1" t="s">
        <v>18</v>
      </c>
      <c r="C21" s="2">
        <v>11.95</v>
      </c>
      <c r="D21" s="1">
        <f>'基础资料-结算资料'!C47</f>
        <v>0</v>
      </c>
      <c r="E21" s="1">
        <f>'基础资料-结算资料'!F47</f>
        <v>0</v>
      </c>
      <c r="F21" s="1">
        <f>'基础资料-结算资料'!I47+'基础资料-结算资料'!L47</f>
        <v>0</v>
      </c>
      <c r="G21" s="1">
        <f>'基础资料-结算资料'!O47</f>
        <v>11703.3</v>
      </c>
      <c r="H21" s="1">
        <f>'基础资料-结算资料'!R47</f>
        <v>13959.85</v>
      </c>
      <c r="I21" s="1">
        <f>'基础资料-结算资料'!U47</f>
        <v>0</v>
      </c>
      <c r="J21" s="1">
        <f>'基础资料-结算资料'!X47</f>
        <v>0</v>
      </c>
      <c r="K21" s="1">
        <f>'基础资料-结算资料'!AA47</f>
        <v>0</v>
      </c>
      <c r="L21" s="1">
        <f>'基础资料-结算资料'!AD47</f>
        <v>0</v>
      </c>
      <c r="M21" s="1">
        <f>'基础资料-结算资料'!AG47</f>
        <v>0</v>
      </c>
      <c r="N21" s="1">
        <f>SUM(D21:M21)</f>
        <v>25663.15</v>
      </c>
      <c r="O21" s="17">
        <f>N21/N$22</f>
        <v>9.7867615814661406E-3</v>
      </c>
    </row>
    <row r="22" spans="1:15" ht="24" customHeight="1" x14ac:dyDescent="0.2">
      <c r="A22" s="28"/>
      <c r="B22" s="24" t="s">
        <v>13</v>
      </c>
      <c r="C22" s="25"/>
      <c r="D22" s="1">
        <f t="shared" ref="D22:M22" si="3">SUM(D19:D21)</f>
        <v>306655.89</v>
      </c>
      <c r="E22" s="1">
        <f t="shared" si="3"/>
        <v>671849.70000000007</v>
      </c>
      <c r="F22" s="1">
        <f t="shared" si="3"/>
        <v>828173.95</v>
      </c>
      <c r="G22" s="1">
        <f t="shared" si="3"/>
        <v>415133.2</v>
      </c>
      <c r="H22" s="1">
        <f t="shared" si="3"/>
        <v>400418.3</v>
      </c>
      <c r="I22" s="1">
        <f t="shared" si="3"/>
        <v>0</v>
      </c>
      <c r="J22" s="1">
        <f t="shared" si="3"/>
        <v>0</v>
      </c>
      <c r="K22" s="1">
        <f t="shared" si="3"/>
        <v>0</v>
      </c>
      <c r="L22" s="1">
        <f t="shared" si="3"/>
        <v>0</v>
      </c>
      <c r="M22" s="1">
        <f t="shared" si="3"/>
        <v>0</v>
      </c>
      <c r="N22" s="1">
        <f>SUM(D22:M22)</f>
        <v>2622231.04</v>
      </c>
      <c r="O22" s="2" t="s">
        <v>19</v>
      </c>
    </row>
    <row r="23" spans="1:15" ht="24" customHeight="1" x14ac:dyDescent="0.2">
      <c r="A23" s="29"/>
      <c r="B23" s="24" t="s">
        <v>20</v>
      </c>
      <c r="C23" s="25"/>
      <c r="D23" s="16">
        <f>(D19*7.71+D20*C20+D21*C21)/D22</f>
        <v>7.8494469139333987</v>
      </c>
      <c r="E23" s="16">
        <f>(E19*C19+E20*C20+E21*C21)/E22</f>
        <v>7.6200132392706275</v>
      </c>
      <c r="F23" s="16">
        <f>(F19*C19+F20*C20+F21*C21)/F22</f>
        <v>7.2896784811934738</v>
      </c>
      <c r="G23" s="16">
        <f>(G19*C19+G20*C20+G21*C21)/G22</f>
        <v>7.4323409618888592</v>
      </c>
      <c r="H23" s="16">
        <f>(H19*C19+H20*C20+H21*C21)/H22</f>
        <v>7.1233174345428276</v>
      </c>
      <c r="I23" s="16" t="e">
        <f>(I19*C19+I20*C20+I21*C21)/I22</f>
        <v>#DIV/0!</v>
      </c>
      <c r="J23" s="16" t="e">
        <f>(J19*C19+J20*C20+J21*C21)/J22</f>
        <v>#DIV/0!</v>
      </c>
      <c r="K23" s="16" t="e">
        <f>(K19*C19+K20*C20+K21*C21)/K22</f>
        <v>#DIV/0!</v>
      </c>
      <c r="L23" s="16" t="e">
        <f>(L19*C19+L20*C20+L21*C21)/L22</f>
        <v>#DIV/0!</v>
      </c>
      <c r="M23" s="16" t="e">
        <f>(M19*C19+M20*C20+M21*C21)/M22</f>
        <v>#DIV/0!</v>
      </c>
      <c r="N23" s="16">
        <f>(N19*C19+N20*C20+N21*C21)/N22</f>
        <v>7.2968122902320598</v>
      </c>
      <c r="O23" s="2" t="s">
        <v>19</v>
      </c>
    </row>
    <row r="24" spans="1:15" ht="24" customHeight="1" x14ac:dyDescent="0.2">
      <c r="A24" s="27" t="s">
        <v>21</v>
      </c>
      <c r="B24" s="1" t="s">
        <v>17</v>
      </c>
      <c r="C24" s="1">
        <v>6.76</v>
      </c>
      <c r="D24" s="1">
        <f>'基础资料-结算资料'!C45</f>
        <v>1100574.23</v>
      </c>
      <c r="E24" s="1">
        <f>'基础资料-结算资料'!F45</f>
        <v>1732352.73</v>
      </c>
      <c r="F24" s="1">
        <f>'基础资料-结算资料'!I45+'基础资料-结算资料'!L45</f>
        <v>3739917.4499999997</v>
      </c>
      <c r="G24" s="1">
        <f>'基础资料-结算资料'!O45</f>
        <v>1946044.48</v>
      </c>
      <c r="H24" s="1">
        <f>'基础资料-结算资料'!R45</f>
        <v>1904388.1</v>
      </c>
      <c r="I24" s="1">
        <f>'基础资料-结算资料'!U45</f>
        <v>1880498.58</v>
      </c>
      <c r="J24" s="1">
        <f>'基础资料-结算资料'!X45</f>
        <v>2134386.71</v>
      </c>
      <c r="K24" s="1">
        <f>'基础资料-结算资料'!AA45</f>
        <v>1689846.62</v>
      </c>
      <c r="L24" s="1">
        <f>'基础资料-结算资料'!AD45</f>
        <v>1925715.64</v>
      </c>
      <c r="M24" s="1">
        <f>'基础资料-结算资料'!AG45</f>
        <v>1979038.71</v>
      </c>
      <c r="N24" s="1">
        <f>SUM(D24:M24)</f>
        <v>20032763.250000004</v>
      </c>
      <c r="O24" s="18">
        <f>N24/N$26</f>
        <v>0.97839494834784346</v>
      </c>
    </row>
    <row r="25" spans="1:15" ht="24" customHeight="1" x14ac:dyDescent="0.2">
      <c r="A25" s="28"/>
      <c r="B25" s="1" t="s">
        <v>18</v>
      </c>
      <c r="C25" s="1">
        <v>10.94</v>
      </c>
      <c r="D25" s="1">
        <f>'基础资料-结算资料'!C48</f>
        <v>0</v>
      </c>
      <c r="E25" s="1">
        <f>'基础资料-结算资料'!F48</f>
        <v>0</v>
      </c>
      <c r="F25" s="1">
        <f>'基础资料-结算资料'!I48+'基础资料-结算资料'!L48</f>
        <v>6414.75</v>
      </c>
      <c r="G25" s="1">
        <f>'基础资料-结算资料'!O48</f>
        <v>82461.55</v>
      </c>
      <c r="H25" s="1">
        <f>'基础资料-结算资料'!R48</f>
        <v>102218.97</v>
      </c>
      <c r="I25" s="1">
        <f>'基础资料-结算资料'!U48</f>
        <v>42304.35</v>
      </c>
      <c r="J25" s="1">
        <f>'基础资料-结算资料'!X48</f>
        <v>65699.5</v>
      </c>
      <c r="K25" s="1">
        <f>'基础资料-结算资料'!AA48</f>
        <v>37384.199999999997</v>
      </c>
      <c r="L25" s="1">
        <f>'基础资料-结算资料'!AD48</f>
        <v>42007.51</v>
      </c>
      <c r="M25" s="1">
        <f>'基础资料-结算资料'!AG48</f>
        <v>63875.4</v>
      </c>
      <c r="N25" s="1">
        <f>SUM(D25:M25)</f>
        <v>442366.23000000004</v>
      </c>
      <c r="O25" s="18">
        <f>N25/N$26</f>
        <v>2.1605051652156884E-2</v>
      </c>
    </row>
    <row r="26" spans="1:15" ht="24" customHeight="1" x14ac:dyDescent="0.2">
      <c r="A26" s="28"/>
      <c r="B26" s="24" t="s">
        <v>13</v>
      </c>
      <c r="C26" s="25"/>
      <c r="D26" s="1">
        <f t="shared" ref="D26:M26" si="4">SUM(D24:D25)</f>
        <v>1100574.23</v>
      </c>
      <c r="E26" s="1">
        <f t="shared" si="4"/>
        <v>1732352.73</v>
      </c>
      <c r="F26" s="1">
        <f t="shared" si="4"/>
        <v>3746332.1999999997</v>
      </c>
      <c r="G26" s="1">
        <f t="shared" si="4"/>
        <v>2028506.03</v>
      </c>
      <c r="H26" s="1">
        <f t="shared" si="4"/>
        <v>2006607.07</v>
      </c>
      <c r="I26" s="1">
        <f t="shared" si="4"/>
        <v>1922802.9300000002</v>
      </c>
      <c r="J26" s="1">
        <f t="shared" si="4"/>
        <v>2200086.21</v>
      </c>
      <c r="K26" s="1">
        <f t="shared" si="4"/>
        <v>1727230.82</v>
      </c>
      <c r="L26" s="1">
        <f t="shared" si="4"/>
        <v>1967723.15</v>
      </c>
      <c r="M26" s="1">
        <f t="shared" si="4"/>
        <v>2042914.1099999999</v>
      </c>
      <c r="N26" s="1">
        <f>SUM(D26:M26)</f>
        <v>20475129.479999997</v>
      </c>
      <c r="O26" s="2" t="s">
        <v>19</v>
      </c>
    </row>
    <row r="27" spans="1:15" ht="24" customHeight="1" x14ac:dyDescent="0.2">
      <c r="A27" s="29"/>
      <c r="B27" s="24" t="s">
        <v>20</v>
      </c>
      <c r="C27" s="25"/>
      <c r="D27" s="16">
        <f>(D24*C24+D25*C25)/D26</f>
        <v>6.76</v>
      </c>
      <c r="E27" s="16">
        <f>(E24*C24+E25*C25)/E26</f>
        <v>6.7600000000000007</v>
      </c>
      <c r="F27" s="16">
        <f>(F24*C24+F25*C25)/F26</f>
        <v>6.7671573084202192</v>
      </c>
      <c r="G27" s="16">
        <f>(G24*C24+G25*C25)/G26</f>
        <v>6.929922728304633</v>
      </c>
      <c r="H27" s="16">
        <f>(H24*C24+H25*C25)/H26</f>
        <v>6.9729342116790205</v>
      </c>
      <c r="I27" s="16">
        <f>(I24*C24+I25*C25)/I26</f>
        <v>6.8519658381215383</v>
      </c>
      <c r="J27" s="16">
        <f>(J24*C24+J25*C25)/J26</f>
        <v>6.88482415859513</v>
      </c>
      <c r="K27" s="16">
        <f>(K24*C24+K25*C25)/K26</f>
        <v>6.8504719590401937</v>
      </c>
      <c r="L27" s="16">
        <f>(L24*C24+L25*C25)/L26</f>
        <v>6.8492358215127975</v>
      </c>
      <c r="M27" s="16">
        <f>(M24*C24+M25*C25)/M26</f>
        <v>6.890695250815023</v>
      </c>
      <c r="N27" s="16">
        <f>(N24*C24+N25*C25)/N26</f>
        <v>6.8503091159060174</v>
      </c>
      <c r="O27" s="2" t="s">
        <v>19</v>
      </c>
    </row>
    <row r="30" spans="1:15" x14ac:dyDescent="0.2">
      <c r="C30" s="9"/>
      <c r="D30" s="9"/>
      <c r="E30" s="9" t="s">
        <v>83</v>
      </c>
      <c r="F30" s="9" t="s">
        <v>84</v>
      </c>
      <c r="H30" s="9"/>
      <c r="I30" s="9"/>
      <c r="J30" s="9" t="s">
        <v>83</v>
      </c>
      <c r="K30" s="9" t="s">
        <v>84</v>
      </c>
      <c r="L30" t="s">
        <v>89</v>
      </c>
    </row>
    <row r="31" spans="1:15" x14ac:dyDescent="0.2">
      <c r="C31" s="9" t="s">
        <v>79</v>
      </c>
      <c r="D31" s="9">
        <f>'基础资料-生产资料'!Q16+'基础资料-生产资料'!Q17</f>
        <v>2611128.54</v>
      </c>
      <c r="E31" s="42">
        <f>D32-D31</f>
        <v>11102.5</v>
      </c>
      <c r="F31" s="41">
        <f>E31*N23</f>
        <v>81012.858452301443</v>
      </c>
      <c r="H31" s="9" t="s">
        <v>85</v>
      </c>
      <c r="I31" s="9">
        <f>'基础资料-生产资料'!Q18+'基础资料-生产资料'!Q19</f>
        <v>20165397.669999998</v>
      </c>
      <c r="J31" s="42">
        <f>I32-I31</f>
        <v>309731.81000000611</v>
      </c>
      <c r="K31" s="41">
        <f>J31*C24</f>
        <v>2093787.0356000413</v>
      </c>
    </row>
    <row r="32" spans="1:15" x14ac:dyDescent="0.2">
      <c r="C32" s="9" t="s">
        <v>80</v>
      </c>
      <c r="D32" s="9">
        <f>N22</f>
        <v>2622231.04</v>
      </c>
      <c r="E32" s="42"/>
      <c r="F32" s="41"/>
      <c r="H32" s="9" t="s">
        <v>86</v>
      </c>
      <c r="I32" s="9">
        <f>N24+N25</f>
        <v>20475129.480000004</v>
      </c>
      <c r="J32" s="42"/>
      <c r="K32" s="41"/>
    </row>
    <row r="33" spans="3:11" x14ac:dyDescent="0.2">
      <c r="C33" s="9"/>
      <c r="D33" s="9"/>
      <c r="E33" s="9"/>
      <c r="F33" s="19"/>
      <c r="H33" s="9"/>
      <c r="I33" s="9"/>
      <c r="J33" s="9"/>
      <c r="K33" s="19"/>
    </row>
    <row r="34" spans="3:11" x14ac:dyDescent="0.2">
      <c r="C34" s="9" t="s">
        <v>81</v>
      </c>
      <c r="D34" s="9">
        <f>'基础资料-生产资料'!Q6+'基础资料-生产资料'!Q7</f>
        <v>2418165.69</v>
      </c>
      <c r="E34" s="42">
        <f>D35-D34</f>
        <v>42609</v>
      </c>
      <c r="F34" s="41">
        <f>E34*N10</f>
        <v>338703.11158733204</v>
      </c>
      <c r="H34" s="9" t="s">
        <v>87</v>
      </c>
      <c r="I34" s="9">
        <f>'基础资料-生产资料'!Q8+'基础资料-生产资料'!Q9</f>
        <v>10445443.76</v>
      </c>
      <c r="J34" s="42"/>
      <c r="K34" s="41"/>
    </row>
    <row r="35" spans="3:11" x14ac:dyDescent="0.2">
      <c r="C35" s="9" t="s">
        <v>82</v>
      </c>
      <c r="D35" s="9">
        <f>N9</f>
        <v>2460774.69</v>
      </c>
      <c r="E35" s="42"/>
      <c r="F35" s="41"/>
      <c r="H35" s="9" t="s">
        <v>88</v>
      </c>
      <c r="I35" s="9">
        <f>N13</f>
        <v>10445443.76</v>
      </c>
      <c r="J35" s="42"/>
      <c r="K35" s="41"/>
    </row>
    <row r="38" spans="3:11" x14ac:dyDescent="0.2">
      <c r="E38">
        <f>E31+E34</f>
        <v>53711.5</v>
      </c>
    </row>
    <row r="39" spans="3:11" x14ac:dyDescent="0.2">
      <c r="E39">
        <v>53260.800000000003</v>
      </c>
    </row>
    <row r="40" spans="3:11" x14ac:dyDescent="0.2">
      <c r="E40">
        <f>E38-E39</f>
        <v>450.69999999999709</v>
      </c>
    </row>
  </sheetData>
  <mergeCells count="24">
    <mergeCell ref="B26:C26"/>
    <mergeCell ref="B27:C27"/>
    <mergeCell ref="A24:A27"/>
    <mergeCell ref="A18:B18"/>
    <mergeCell ref="A4:O4"/>
    <mergeCell ref="A6:A10"/>
    <mergeCell ref="B13:C13"/>
    <mergeCell ref="A17:O17"/>
    <mergeCell ref="B10:C10"/>
    <mergeCell ref="A5:B5"/>
    <mergeCell ref="B23:C23"/>
    <mergeCell ref="B22:C22"/>
    <mergeCell ref="B9:C9"/>
    <mergeCell ref="A11:A14"/>
    <mergeCell ref="A19:A23"/>
    <mergeCell ref="B14:C14"/>
    <mergeCell ref="K31:K32"/>
    <mergeCell ref="J34:J35"/>
    <mergeCell ref="K34:K35"/>
    <mergeCell ref="E31:E32"/>
    <mergeCell ref="E34:E35"/>
    <mergeCell ref="F31:F32"/>
    <mergeCell ref="F34:F35"/>
    <mergeCell ref="J31:J3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AAE0-104E-4ED6-A628-FDB18B79B374}">
  <dimension ref="A2:Q19"/>
  <sheetViews>
    <sheetView workbookViewId="0">
      <selection activeCell="E16" sqref="E16:P19"/>
    </sheetView>
  </sheetViews>
  <sheetFormatPr defaultColWidth="9" defaultRowHeight="14.25" x14ac:dyDescent="0.2"/>
  <cols>
    <col min="4" max="4" width="16.75" customWidth="1"/>
    <col min="5" max="5" width="11.875" customWidth="1"/>
    <col min="6" max="6" width="12" customWidth="1"/>
    <col min="7" max="8" width="11.5" customWidth="1"/>
    <col min="9" max="9" width="14.75" customWidth="1"/>
    <col min="10" max="10" width="11.5" customWidth="1"/>
    <col min="11" max="11" width="13.875" customWidth="1"/>
    <col min="12" max="12" width="11.5" customWidth="1"/>
    <col min="13" max="13" width="13" customWidth="1"/>
    <col min="14" max="14" width="11.375" customWidth="1"/>
    <col min="15" max="15" width="11.5" customWidth="1"/>
    <col min="16" max="16" width="11.125" customWidth="1"/>
    <col min="17" max="17" width="12.75" customWidth="1"/>
  </cols>
  <sheetData>
    <row r="2" spans="1:17" ht="25.5" customHeight="1" x14ac:dyDescent="0.2">
      <c r="A2" s="33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7" x14ac:dyDescent="0.2">
      <c r="O4" t="s">
        <v>24</v>
      </c>
    </row>
    <row r="5" spans="1:17" ht="24" customHeight="1" x14ac:dyDescent="0.2">
      <c r="A5" s="24" t="s">
        <v>25</v>
      </c>
      <c r="B5" s="32"/>
      <c r="C5" s="32"/>
      <c r="D5" s="25"/>
      <c r="E5" s="2" t="s">
        <v>3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10</v>
      </c>
      <c r="O5" s="2" t="s">
        <v>11</v>
      </c>
      <c r="P5" s="2" t="s">
        <v>12</v>
      </c>
      <c r="Q5" s="2" t="s">
        <v>13</v>
      </c>
    </row>
    <row r="6" spans="1:17" ht="24" customHeight="1" x14ac:dyDescent="0.2">
      <c r="A6" s="27" t="s">
        <v>30</v>
      </c>
      <c r="B6" s="27" t="s">
        <v>31</v>
      </c>
      <c r="C6" s="24" t="s">
        <v>32</v>
      </c>
      <c r="D6" s="25"/>
      <c r="E6" s="4">
        <v>189082.9</v>
      </c>
      <c r="F6" s="4">
        <v>32925.050000000003</v>
      </c>
      <c r="G6" s="4">
        <v>79963.73</v>
      </c>
      <c r="H6" s="4">
        <v>90578.25</v>
      </c>
      <c r="I6" s="4">
        <v>68277.5</v>
      </c>
      <c r="J6" s="4">
        <v>308815.3</v>
      </c>
      <c r="K6" s="4">
        <v>32072.1</v>
      </c>
      <c r="L6" s="4">
        <v>111991.7</v>
      </c>
      <c r="M6" s="5"/>
      <c r="N6" s="5"/>
      <c r="O6" s="5"/>
      <c r="P6" s="5"/>
      <c r="Q6" s="5">
        <f>SUM(E6:P6)</f>
        <v>913706.52999999991</v>
      </c>
    </row>
    <row r="7" spans="1:17" ht="24" customHeight="1" x14ac:dyDescent="0.2">
      <c r="A7" s="28"/>
      <c r="B7" s="28"/>
      <c r="C7" s="24" t="s">
        <v>33</v>
      </c>
      <c r="D7" s="25"/>
      <c r="E7" s="4">
        <v>427130.5</v>
      </c>
      <c r="F7" s="4">
        <v>122428.3</v>
      </c>
      <c r="G7" s="4">
        <v>277243.75</v>
      </c>
      <c r="H7" s="4">
        <v>420235.96</v>
      </c>
      <c r="I7" s="4">
        <v>257420.65</v>
      </c>
      <c r="J7" s="4">
        <v>0</v>
      </c>
      <c r="K7" s="4">
        <v>0</v>
      </c>
      <c r="L7" s="4">
        <v>0</v>
      </c>
      <c r="M7" s="5"/>
      <c r="N7" s="5"/>
      <c r="O7" s="5"/>
      <c r="P7" s="5"/>
      <c r="Q7" s="5">
        <f>SUM(E7:P7)</f>
        <v>1504459.16</v>
      </c>
    </row>
    <row r="8" spans="1:17" ht="24" customHeight="1" x14ac:dyDescent="0.2">
      <c r="A8" s="28"/>
      <c r="B8" s="28"/>
      <c r="C8" s="2" t="s">
        <v>34</v>
      </c>
      <c r="D8" s="1" t="s">
        <v>35</v>
      </c>
      <c r="E8" s="4">
        <v>1332094.25</v>
      </c>
      <c r="F8" s="4">
        <v>669731.4</v>
      </c>
      <c r="G8" s="4">
        <v>724342.1</v>
      </c>
      <c r="H8" s="4">
        <v>1274223.2</v>
      </c>
      <c r="I8" s="4">
        <v>973700.5</v>
      </c>
      <c r="J8" s="4">
        <v>1185003.6499999999</v>
      </c>
      <c r="K8" s="4">
        <v>597014.55000000005</v>
      </c>
      <c r="L8" s="4">
        <v>1021527.25</v>
      </c>
      <c r="M8" s="5"/>
      <c r="N8" s="5"/>
      <c r="O8" s="5"/>
      <c r="P8" s="5"/>
      <c r="Q8" s="5">
        <f>SUM(E8:P8)</f>
        <v>7777636.8999999994</v>
      </c>
    </row>
    <row r="9" spans="1:17" ht="24" customHeight="1" x14ac:dyDescent="0.2">
      <c r="A9" s="29"/>
      <c r="B9" s="29"/>
      <c r="C9" s="3" t="s">
        <v>36</v>
      </c>
      <c r="D9" s="1" t="s">
        <v>35</v>
      </c>
      <c r="E9" s="4">
        <v>526684.49</v>
      </c>
      <c r="F9" s="4">
        <v>241147.94</v>
      </c>
      <c r="G9" s="4">
        <v>282280.77</v>
      </c>
      <c r="H9" s="4">
        <v>480767.83</v>
      </c>
      <c r="I9" s="4">
        <v>373518.09</v>
      </c>
      <c r="J9" s="4">
        <v>599144.12</v>
      </c>
      <c r="K9" s="4">
        <v>164263.62</v>
      </c>
      <c r="L9" s="4">
        <v>0</v>
      </c>
      <c r="M9" s="5"/>
      <c r="N9" s="5"/>
      <c r="O9" s="5"/>
      <c r="P9" s="5"/>
      <c r="Q9" s="5">
        <f>SUM(E9:P9)</f>
        <v>2667806.8600000003</v>
      </c>
    </row>
    <row r="10" spans="1:17" x14ac:dyDescent="0.2">
      <c r="A10" s="30"/>
      <c r="B10" s="31"/>
      <c r="C10" s="30"/>
      <c r="D10" s="31"/>
    </row>
    <row r="11" spans="1:17" x14ac:dyDescent="0.2">
      <c r="A11" s="23"/>
      <c r="B11" s="23"/>
      <c r="C11" s="26"/>
      <c r="D11" s="23"/>
    </row>
    <row r="12" spans="1:17" x14ac:dyDescent="0.2">
      <c r="A12" s="33" t="s">
        <v>37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7" x14ac:dyDescent="0.2">
      <c r="O14" t="s">
        <v>24</v>
      </c>
    </row>
    <row r="15" spans="1:17" ht="24" customHeight="1" x14ac:dyDescent="0.2">
      <c r="A15" s="24" t="s">
        <v>25</v>
      </c>
      <c r="B15" s="32"/>
      <c r="C15" s="32"/>
      <c r="D15" s="25"/>
      <c r="E15" s="2" t="s">
        <v>3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6</v>
      </c>
      <c r="K15" s="2" t="s">
        <v>7</v>
      </c>
      <c r="L15" s="2" t="s">
        <v>8</v>
      </c>
      <c r="M15" s="2" t="s">
        <v>9</v>
      </c>
      <c r="N15" s="2" t="s">
        <v>10</v>
      </c>
      <c r="O15" s="2" t="s">
        <v>11</v>
      </c>
      <c r="P15" s="2" t="s">
        <v>12</v>
      </c>
      <c r="Q15" s="2" t="s">
        <v>13</v>
      </c>
    </row>
    <row r="16" spans="1:17" ht="24" customHeight="1" x14ac:dyDescent="0.2">
      <c r="A16" s="27" t="s">
        <v>30</v>
      </c>
      <c r="B16" s="27" t="s">
        <v>31</v>
      </c>
      <c r="C16" s="24" t="s">
        <v>32</v>
      </c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19808.400000000001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5">
        <f>SUM(E16:P16)</f>
        <v>19808.400000000001</v>
      </c>
    </row>
    <row r="17" spans="1:17" ht="24" customHeight="1" x14ac:dyDescent="0.2">
      <c r="A17" s="28"/>
      <c r="B17" s="28"/>
      <c r="C17" s="24" t="s">
        <v>33</v>
      </c>
      <c r="D17" s="25"/>
      <c r="E17" s="6">
        <v>302452.34000000003</v>
      </c>
      <c r="F17" s="6">
        <v>268007.59999999998</v>
      </c>
      <c r="G17" s="6">
        <v>394472.15</v>
      </c>
      <c r="H17" s="6">
        <v>494860.65</v>
      </c>
      <c r="I17" s="6">
        <v>303153.05</v>
      </c>
      <c r="J17" s="6">
        <v>385535.1</v>
      </c>
      <c r="K17" s="6">
        <v>400373.65</v>
      </c>
      <c r="L17" s="6">
        <v>42465.599999999999</v>
      </c>
      <c r="M17" s="6">
        <v>0</v>
      </c>
      <c r="N17" s="6">
        <v>0</v>
      </c>
      <c r="O17" s="6">
        <v>0</v>
      </c>
      <c r="P17" s="6">
        <v>0</v>
      </c>
      <c r="Q17" s="5">
        <f>SUM(E17:P17)</f>
        <v>2591320.14</v>
      </c>
    </row>
    <row r="18" spans="1:17" ht="24" customHeight="1" x14ac:dyDescent="0.2">
      <c r="A18" s="28"/>
      <c r="B18" s="28"/>
      <c r="C18" s="2" t="s">
        <v>34</v>
      </c>
      <c r="D18" s="1" t="s">
        <v>35</v>
      </c>
      <c r="E18" s="6">
        <v>620265.55000000005</v>
      </c>
      <c r="F18" s="6">
        <v>451278.7</v>
      </c>
      <c r="G18" s="6">
        <v>814257.5</v>
      </c>
      <c r="H18" s="6">
        <v>1120405</v>
      </c>
      <c r="I18" s="6">
        <v>1461011.8</v>
      </c>
      <c r="J18" s="6">
        <v>1447575.15</v>
      </c>
      <c r="K18" s="6">
        <v>1432463.2</v>
      </c>
      <c r="L18" s="6">
        <v>1314101.5</v>
      </c>
      <c r="M18" s="6">
        <v>1452347.85</v>
      </c>
      <c r="N18" s="6">
        <v>1206269.8500000001</v>
      </c>
      <c r="O18" s="6">
        <v>1326113.1499999999</v>
      </c>
      <c r="P18" s="6">
        <v>1435938.1</v>
      </c>
      <c r="Q18" s="5">
        <f>SUM(E18:P18)</f>
        <v>14082027.349999998</v>
      </c>
    </row>
    <row r="19" spans="1:17" ht="24" customHeight="1" x14ac:dyDescent="0.2">
      <c r="A19" s="29"/>
      <c r="B19" s="29"/>
      <c r="C19" s="3" t="s">
        <v>36</v>
      </c>
      <c r="D19" s="1" t="s">
        <v>35</v>
      </c>
      <c r="E19" s="6">
        <v>169547.98</v>
      </c>
      <c r="F19" s="6">
        <v>146213.5</v>
      </c>
      <c r="G19" s="6">
        <v>320603.03000000003</v>
      </c>
      <c r="H19" s="6">
        <v>501154.67</v>
      </c>
      <c r="I19" s="6">
        <v>667030.07999999996</v>
      </c>
      <c r="J19" s="6">
        <v>618556.07999999996</v>
      </c>
      <c r="K19" s="6">
        <v>594737.02</v>
      </c>
      <c r="L19" s="6">
        <v>608701.43000000005</v>
      </c>
      <c r="M19" s="6">
        <v>686250.66</v>
      </c>
      <c r="N19" s="6">
        <v>520960.97</v>
      </c>
      <c r="O19" s="6">
        <v>641610</v>
      </c>
      <c r="P19" s="6">
        <v>606976.01</v>
      </c>
      <c r="Q19" s="5">
        <f>SUM(E19:P19)</f>
        <v>6082341.4299999997</v>
      </c>
    </row>
  </sheetData>
  <mergeCells count="15">
    <mergeCell ref="A5:D5"/>
    <mergeCell ref="A2:P3"/>
    <mergeCell ref="C6:D6"/>
    <mergeCell ref="B16:B19"/>
    <mergeCell ref="C16:D16"/>
    <mergeCell ref="C7:D7"/>
    <mergeCell ref="C10:D10"/>
    <mergeCell ref="C11:D11"/>
    <mergeCell ref="A6:A9"/>
    <mergeCell ref="B6:B9"/>
    <mergeCell ref="A10:B11"/>
    <mergeCell ref="A15:D15"/>
    <mergeCell ref="A12:P13"/>
    <mergeCell ref="C17:D17"/>
    <mergeCell ref="A16:A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图表</vt:lpstr>
      <vt:lpstr>基础资料-生产资料</vt:lpstr>
      <vt:lpstr>基础资料-结算资料</vt:lpstr>
      <vt:lpstr>核心指标-开采比例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PC20250401</dc:creator>
  <cp:lastModifiedBy>吕平 欧</cp:lastModifiedBy>
  <dcterms:created xsi:type="dcterms:W3CDTF">2015-06-05T18:19:34Z</dcterms:created>
  <dcterms:modified xsi:type="dcterms:W3CDTF">2026-09-10T06:16:43Z</dcterms:modified>
</cp:coreProperties>
</file>